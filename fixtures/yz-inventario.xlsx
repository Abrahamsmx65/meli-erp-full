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70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98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ES" sheetId="1" r:id="rId5"/>
    <sheet state="visible" name="362" sheetId="2" r:id="rId6"/>
    <sheet state="visible" name="367" sheetId="3" r:id="rId7"/>
    <sheet state="hidden" name="CONSECUTIVO TOTALES" sheetId="4" r:id="rId8"/>
    <sheet state="visible" name="380" sheetId="5" r:id="rId9"/>
    <sheet state="visible" name="388" sheetId="6" r:id="rId10"/>
    <sheet state="visible" name="398" sheetId="7" r:id="rId11"/>
    <sheet state="visible" name="412" sheetId="8" r:id="rId12"/>
    <sheet state="visible" name="437" sheetId="9" r:id="rId13"/>
    <sheet state="visible" name="439" sheetId="10" r:id="rId14"/>
    <sheet state="visible" name="448" sheetId="11" r:id="rId15"/>
    <sheet state="visible" name="450" sheetId="12" r:id="rId16"/>
    <sheet state="visible" name="456" sheetId="13" r:id="rId17"/>
    <sheet state="visible" name="462" sheetId="14" r:id="rId18"/>
    <sheet state="visible" name="474" sheetId="15" r:id="rId19"/>
    <sheet state="visible" name="491" sheetId="16" r:id="rId20"/>
    <sheet state="visible" name="498" sheetId="17" r:id="rId21"/>
    <sheet state="visible" name="499" sheetId="18" r:id="rId22"/>
    <sheet state="visible" name="514" sheetId="19" r:id="rId23"/>
    <sheet state="visible" name="540" sheetId="20" r:id="rId24"/>
    <sheet state="visible" name="545" sheetId="21" r:id="rId25"/>
    <sheet state="visible" name="567" sheetId="22" r:id="rId26"/>
    <sheet state="visible" name="576" sheetId="23" r:id="rId27"/>
    <sheet state="visible" name="578" sheetId="24" r:id="rId28"/>
    <sheet state="visible" name="582" sheetId="25" r:id="rId29"/>
    <sheet state="visible" name="584" sheetId="26" r:id="rId30"/>
    <sheet state="visible" name="594" sheetId="27" r:id="rId31"/>
    <sheet state="visible" name="598" sheetId="28" r:id="rId32"/>
    <sheet state="visible" name="599" sheetId="29" r:id="rId33"/>
    <sheet state="visible" name="601" sheetId="30" r:id="rId34"/>
    <sheet state="visible" name="602" sheetId="31" r:id="rId35"/>
    <sheet state="visible" name="603" sheetId="32" r:id="rId36"/>
    <sheet state="visible" name="604" sheetId="33" r:id="rId37"/>
    <sheet state="visible" name="606" sheetId="34" r:id="rId38"/>
    <sheet state="visible" name="607" sheetId="35" r:id="rId39"/>
    <sheet state="visible" name="613" sheetId="36" r:id="rId40"/>
    <sheet state="visible" name="616" sheetId="37" r:id="rId41"/>
    <sheet state="visible" name="617" sheetId="38" r:id="rId42"/>
    <sheet state="visible" name="620" sheetId="39" r:id="rId43"/>
    <sheet state="visible" name="621" sheetId="40" r:id="rId44"/>
    <sheet state="visible" name="628" sheetId="41" r:id="rId45"/>
    <sheet state="visible" name="639" sheetId="42" r:id="rId46"/>
    <sheet state="visible" name="641" sheetId="43" r:id="rId47"/>
    <sheet state="visible" name="642" sheetId="44" r:id="rId48"/>
    <sheet state="visible" name="643" sheetId="45" r:id="rId49"/>
    <sheet state="visible" name="644" sheetId="46" r:id="rId50"/>
    <sheet state="visible" name="645" sheetId="47" r:id="rId51"/>
    <sheet state="visible" name="646" sheetId="48" r:id="rId52"/>
    <sheet state="visible" name="647" sheetId="49" r:id="rId53"/>
    <sheet state="visible" name="648" sheetId="50" r:id="rId54"/>
    <sheet state="visible" name="650" sheetId="51" r:id="rId55"/>
    <sheet state="visible" name="651" sheetId="52" r:id="rId56"/>
    <sheet state="visible" name="652" sheetId="53" r:id="rId57"/>
    <sheet state="visible" name="653" sheetId="54" r:id="rId58"/>
    <sheet state="visible" name="654" sheetId="55" r:id="rId59"/>
    <sheet state="visible" name="655" sheetId="56" r:id="rId60"/>
    <sheet state="visible" name="656" sheetId="57" r:id="rId61"/>
    <sheet state="visible" name="657" sheetId="58" r:id="rId62"/>
    <sheet state="visible" name="658" sheetId="59" r:id="rId63"/>
    <sheet state="visible" name="659" sheetId="60" r:id="rId64"/>
    <sheet state="visible" name="662" sheetId="61" r:id="rId65"/>
    <sheet state="visible" name="663" sheetId="62" r:id="rId66"/>
    <sheet state="visible" name="664" sheetId="63" r:id="rId67"/>
    <sheet state="visible" name="665" sheetId="64" r:id="rId68"/>
    <sheet state="visible" name="666" sheetId="65" r:id="rId69"/>
    <sheet state="visible" name="667" sheetId="66" r:id="rId70"/>
    <sheet state="visible" name="669" sheetId="67" r:id="rId71"/>
    <sheet state="visible" name="670" sheetId="68" r:id="rId72"/>
    <sheet state="visible" name="671" sheetId="69" r:id="rId73"/>
    <sheet state="visible" name="674" sheetId="70" r:id="rId74"/>
    <sheet state="visible" name="675" sheetId="71" r:id="rId75"/>
    <sheet state="visible" name="676" sheetId="72" r:id="rId76"/>
    <sheet state="visible" name="678" sheetId="73" r:id="rId77"/>
    <sheet state="visible" name="679" sheetId="74" r:id="rId78"/>
    <sheet state="visible" name="680" sheetId="75" r:id="rId79"/>
    <sheet state="visible" name="681" sheetId="76" r:id="rId80"/>
    <sheet state="visible" name="682" sheetId="77" r:id="rId81"/>
    <sheet state="visible" name="683" sheetId="78" r:id="rId82"/>
    <sheet state="visible" name="684" sheetId="79" r:id="rId83"/>
    <sheet state="visible" name="686" sheetId="80" r:id="rId84"/>
    <sheet state="visible" name="689" sheetId="81" r:id="rId85"/>
    <sheet state="visible" name="703" sheetId="82" r:id="rId86"/>
    <sheet state="visible" name="714" sheetId="83" r:id="rId87"/>
    <sheet state="visible" name="716" sheetId="84" r:id="rId88"/>
    <sheet state="visible" name="718" sheetId="85" r:id="rId89"/>
    <sheet state="visible" name="721" sheetId="86" r:id="rId90"/>
    <sheet state="visible" name="722" sheetId="87" r:id="rId91"/>
    <sheet state="visible" name="723" sheetId="88" r:id="rId92"/>
    <sheet state="visible" name="728" sheetId="89" r:id="rId93"/>
    <sheet state="visible" name="729" sheetId="90" r:id="rId94"/>
    <sheet state="visible" name="730" sheetId="91" r:id="rId95"/>
    <sheet state="visible" name="735" sheetId="92" r:id="rId96"/>
    <sheet state="visible" name="739" sheetId="93" r:id="rId97"/>
    <sheet state="visible" name="745" sheetId="94" r:id="rId98"/>
    <sheet state="visible" name="748" sheetId="95" r:id="rId99"/>
    <sheet state="visible" name="749" sheetId="96" r:id="rId100"/>
    <sheet state="visible" name="750" sheetId="97" r:id="rId101"/>
    <sheet state="visible" name="754" sheetId="98" r:id="rId102"/>
    <sheet state="visible" name="416" sheetId="99" r:id="rId103"/>
    <sheet state="visible" name="RETIRO" sheetId="100" r:id="rId104"/>
  </sheets>
  <definedNames>
    <definedName hidden="1" localSheetId="0" name="_xlnm._FilterDatabase">TOTALES!$A$1:$G$94</definedName>
  </definedNames>
  <calcPr/>
</workbook>
</file>

<file path=xl/sharedStrings.xml><?xml version="1.0" encoding="utf-8"?>
<sst xmlns="http://schemas.openxmlformats.org/spreadsheetml/2006/main" count="3083" uniqueCount="2113">
  <si>
    <t>367-A05</t>
  </si>
  <si>
    <t>MODELO</t>
  </si>
  <si>
    <t xml:space="preserve"> </t>
  </si>
  <si>
    <t>362-Rmn13-5G-blue</t>
  </si>
  <si>
    <t>CANTIDAD</t>
  </si>
  <si>
    <t>362-Rmn13-5G-blk</t>
  </si>
  <si>
    <t>362-Rmn13pro-4G-blue</t>
  </si>
  <si>
    <t>VALOR</t>
  </si>
  <si>
    <t>COSTO</t>
  </si>
  <si>
    <t>CATEGORIA</t>
  </si>
  <si>
    <t>29 AGOSTO</t>
  </si>
  <si>
    <t>314A</t>
  </si>
  <si>
    <t>367-A05s</t>
  </si>
  <si>
    <t>FUNDA</t>
  </si>
  <si>
    <t>314 GLASS</t>
  </si>
  <si>
    <t>ESTADO</t>
  </si>
  <si>
    <t xml:space="preserve">367-A14 </t>
  </si>
  <si>
    <t>CAJA</t>
  </si>
  <si>
    <t>367-A15</t>
  </si>
  <si>
    <t>367-A24-4G</t>
  </si>
  <si>
    <t>367-A36</t>
  </si>
  <si>
    <t>367-A56</t>
  </si>
  <si>
    <t>367-S22</t>
  </si>
  <si>
    <t>367-S22plus</t>
  </si>
  <si>
    <t>367-S22ultra</t>
  </si>
  <si>
    <t>UNIDADES</t>
  </si>
  <si>
    <t>333A</t>
  </si>
  <si>
    <t>367-S23</t>
  </si>
  <si>
    <t xml:space="preserve">367-S24 </t>
  </si>
  <si>
    <t>367-S24fe</t>
  </si>
  <si>
    <t>PROMEDIO VALOR</t>
  </si>
  <si>
    <t>367-S24plus</t>
  </si>
  <si>
    <t>367-S25</t>
  </si>
  <si>
    <t>367-S25edge</t>
  </si>
  <si>
    <t>367-S25fe</t>
  </si>
  <si>
    <t>367-S25plus</t>
  </si>
  <si>
    <t>367-E14</t>
  </si>
  <si>
    <t>367-E15</t>
  </si>
  <si>
    <t>367-G04</t>
  </si>
  <si>
    <t>367-G05</t>
  </si>
  <si>
    <t>367-G14</t>
  </si>
  <si>
    <t>TABLETA</t>
  </si>
  <si>
    <t>367-G24</t>
  </si>
  <si>
    <t>367-G24power</t>
  </si>
  <si>
    <t>388 BICOLOR</t>
  </si>
  <si>
    <t>367-G35</t>
  </si>
  <si>
    <t>367-G53</t>
  </si>
  <si>
    <t>367-G55</t>
  </si>
  <si>
    <t>367-RmA3</t>
  </si>
  <si>
    <t>C-367-PocoC40</t>
  </si>
  <si>
    <t>C-367-PocoC71</t>
  </si>
  <si>
    <t>A</t>
  </si>
  <si>
    <t>SI</t>
  </si>
  <si>
    <t>MICAS</t>
  </si>
  <si>
    <t>C-367-Rm14/C75</t>
  </si>
  <si>
    <t>MICA</t>
  </si>
  <si>
    <t>NO</t>
  </si>
  <si>
    <t>FUNDAS</t>
  </si>
  <si>
    <t>VIENE EN CAJA</t>
  </si>
  <si>
    <t>TOTAL</t>
  </si>
  <si>
    <t>B</t>
  </si>
  <si>
    <t>C</t>
  </si>
  <si>
    <t>MICAS UNIDADES</t>
  </si>
  <si>
    <t>TABLETAS UNIDADES</t>
  </si>
  <si>
    <t>FUNDAS UNIDADES</t>
  </si>
  <si>
    <t>MICAS VALOR</t>
  </si>
  <si>
    <t>TABLETAS VALOR</t>
  </si>
  <si>
    <t>FUNDAS VALOR</t>
  </si>
  <si>
    <t>29 DIC</t>
  </si>
  <si>
    <t>380-A11-blk</t>
  </si>
  <si>
    <t>380-A11-navy</t>
  </si>
  <si>
    <t>380-A11-pink</t>
  </si>
  <si>
    <t>380-A11-red</t>
  </si>
  <si>
    <t>380-A11plus-navy</t>
  </si>
  <si>
    <t>380-A9plus-blk</t>
  </si>
  <si>
    <t>380-A9-red</t>
  </si>
  <si>
    <t>380-A9-pink</t>
  </si>
  <si>
    <t>30 ENERO 24</t>
  </si>
  <si>
    <t>SKU</t>
  </si>
  <si>
    <t>388-A04s</t>
  </si>
  <si>
    <t>388-A15</t>
  </si>
  <si>
    <t>388-A17</t>
  </si>
  <si>
    <t>388-A26</t>
  </si>
  <si>
    <t>388-A32</t>
  </si>
  <si>
    <t>388-A52</t>
  </si>
  <si>
    <t>388-A53</t>
  </si>
  <si>
    <t>388-S21</t>
  </si>
  <si>
    <t>388-S22plus</t>
  </si>
  <si>
    <t>388-S22ultra</t>
  </si>
  <si>
    <t>388-S23plus</t>
  </si>
  <si>
    <t>388-S24plus</t>
  </si>
  <si>
    <t>388-S24ultra</t>
  </si>
  <si>
    <t>388-S24fe</t>
  </si>
  <si>
    <t>388-S25</t>
  </si>
  <si>
    <t>388-S25plus</t>
  </si>
  <si>
    <t>398-A05-blk</t>
  </si>
  <si>
    <t>398-A06-blk</t>
  </si>
  <si>
    <t>398-A14-red</t>
  </si>
  <si>
    <t>398-A25-5G-blk</t>
  </si>
  <si>
    <t>398-A25-5G-pink</t>
  </si>
  <si>
    <t>398-A25-5G-red</t>
  </si>
  <si>
    <t>398-A33-red</t>
  </si>
  <si>
    <t>398-S24-red</t>
  </si>
  <si>
    <t>398-S25-blk</t>
  </si>
  <si>
    <t>398-S25-pink</t>
  </si>
  <si>
    <t>398-S25-red</t>
  </si>
  <si>
    <t xml:space="preserve">  </t>
  </si>
  <si>
    <t>398-S25plus-blk</t>
  </si>
  <si>
    <t>398-i14plus-pink</t>
  </si>
  <si>
    <t>398-i14plus-red</t>
  </si>
  <si>
    <t>398-i14pro-pink</t>
  </si>
  <si>
    <t>398-i15pro-red</t>
  </si>
  <si>
    <t>398-i15plus-red</t>
  </si>
  <si>
    <t>398-i16plus-red</t>
  </si>
  <si>
    <t>398-i16pro-blk</t>
  </si>
  <si>
    <t>398-i16pro-red</t>
  </si>
  <si>
    <t>398-i16promax-blk</t>
  </si>
  <si>
    <t>10 ABR</t>
  </si>
  <si>
    <t>412-iPad10-blue</t>
  </si>
  <si>
    <t>412-A11-blk</t>
  </si>
  <si>
    <t>412-A11-navy</t>
  </si>
  <si>
    <t>412-A11-mint</t>
  </si>
  <si>
    <t>412-A11-purple</t>
  </si>
  <si>
    <t>412-A11-pink</t>
  </si>
  <si>
    <t>412-A11-grey</t>
  </si>
  <si>
    <t>412-A11plus-blk</t>
  </si>
  <si>
    <t>412-A11plus-pink</t>
  </si>
  <si>
    <t>437-iPadPro11-2024-purple</t>
  </si>
  <si>
    <t>437-A11-blk</t>
  </si>
  <si>
    <t>437-A11-purple</t>
  </si>
  <si>
    <t>437-A11-navy</t>
  </si>
  <si>
    <t>437-A11-magenta</t>
  </si>
  <si>
    <t>437-A11-pink</t>
  </si>
  <si>
    <t>437-A11-red</t>
  </si>
  <si>
    <t>437-A11plus-blk</t>
  </si>
  <si>
    <t>mandar a amzon se vende bien y mas caro</t>
  </si>
  <si>
    <t>437-A11plus-pink</t>
  </si>
  <si>
    <t>437-A11plus-purple</t>
  </si>
  <si>
    <t>437-A11plus-navy</t>
  </si>
  <si>
    <t>437-A11plus-red</t>
  </si>
  <si>
    <t>437-A11plus-magenta</t>
  </si>
  <si>
    <t>437-ipad10-blk</t>
  </si>
  <si>
    <t>437-ipad10-purple</t>
  </si>
  <si>
    <t>437-A9plus-blk</t>
  </si>
  <si>
    <t>437-A9plus-blue</t>
  </si>
  <si>
    <t>437-A9plus-red</t>
  </si>
  <si>
    <t>437-A9plus-purple</t>
  </si>
  <si>
    <t>437-A9plus-mint</t>
  </si>
  <si>
    <t>437-A9-blk</t>
  </si>
  <si>
    <t>437-A9-blue</t>
  </si>
  <si>
    <t>437-RmPad-2-navy</t>
  </si>
  <si>
    <t>437-RmPad-2-purple</t>
  </si>
  <si>
    <t>437-RmPad-2-pink</t>
  </si>
  <si>
    <t>437-RmPad-2-red</t>
  </si>
  <si>
    <t>439-A04s-purple</t>
  </si>
  <si>
    <t>439-A24-4G-blue</t>
  </si>
  <si>
    <t>439-A25-blue</t>
  </si>
  <si>
    <t>439-A26-purple</t>
  </si>
  <si>
    <t>439-A34-blue</t>
  </si>
  <si>
    <t>439-A34-transparent</t>
  </si>
  <si>
    <t>439-S23fe-purple</t>
  </si>
  <si>
    <t>439-S24-blue</t>
  </si>
  <si>
    <t>439-S24-pink</t>
  </si>
  <si>
    <t>439-S25-pink</t>
  </si>
  <si>
    <t>439-S25-purple</t>
  </si>
  <si>
    <t>439-S25-transparent</t>
  </si>
  <si>
    <t>439-S25edge-pink</t>
  </si>
  <si>
    <t>448-i14-purple</t>
  </si>
  <si>
    <t>439-S26-pink</t>
  </si>
  <si>
    <t>439-S26-purple</t>
  </si>
  <si>
    <t>439-S26-transparent</t>
  </si>
  <si>
    <t>448-i15-purple</t>
  </si>
  <si>
    <t>439-E14-pink</t>
  </si>
  <si>
    <t>439-E14-purple</t>
  </si>
  <si>
    <t>448-i15pro-blk</t>
  </si>
  <si>
    <t>439-E14-transparent</t>
  </si>
  <si>
    <t>448-i15pro-pink</t>
  </si>
  <si>
    <t>439-E32-blue</t>
  </si>
  <si>
    <t>439-G04-transparent</t>
  </si>
  <si>
    <t>448-i16pro-blue</t>
  </si>
  <si>
    <t>448-i16pro-pink</t>
  </si>
  <si>
    <t>439-G34-transparent</t>
  </si>
  <si>
    <t>448-i16pro-purple</t>
  </si>
  <si>
    <t>448-i16plus-purple</t>
  </si>
  <si>
    <t>439-G35-purple</t>
  </si>
  <si>
    <t>448-i16promax-purple</t>
  </si>
  <si>
    <t>439-G35-transparent</t>
  </si>
  <si>
    <t>439-G56-pink</t>
  </si>
  <si>
    <t>439-G56-purple</t>
  </si>
  <si>
    <t>439-G56-transparent</t>
  </si>
  <si>
    <t>439-G84-blue</t>
  </si>
  <si>
    <t>439-G84-transparent</t>
  </si>
  <si>
    <t>439-G86-transparent</t>
  </si>
  <si>
    <t>439-PocoC71-pink</t>
  </si>
  <si>
    <t>439-PocoC71-purple</t>
  </si>
  <si>
    <t>439-PocoC71-transparent</t>
  </si>
  <si>
    <t>439-PocoX6pro-pink</t>
  </si>
  <si>
    <t>439-PocoX6pro-purple</t>
  </si>
  <si>
    <t>439-PocoX6pro-transparent</t>
  </si>
  <si>
    <t>439-PocoX7pro-pink</t>
  </si>
  <si>
    <t>439-PocoX7pro-purple</t>
  </si>
  <si>
    <t>439-PocoX7pro-transparent</t>
  </si>
  <si>
    <t>439-Rm13x-pink</t>
  </si>
  <si>
    <t>439-Rm13x-purple</t>
  </si>
  <si>
    <t>439-Rm14c-pink</t>
  </si>
  <si>
    <t>439-Rm14c/C75-purple</t>
  </si>
  <si>
    <t>439-Rm14c/C75-transparent</t>
  </si>
  <si>
    <t>439-Rmn11-transparent</t>
  </si>
  <si>
    <t>439-Rmn12s-purple</t>
  </si>
  <si>
    <t>439-Rmn13-4G-pink</t>
  </si>
  <si>
    <t>439-Rmn13pro-pink</t>
  </si>
  <si>
    <t>439-Rmn13pro-purple</t>
  </si>
  <si>
    <t>439-Rmn13pro-5G-transparent</t>
  </si>
  <si>
    <t>450-Rmn10</t>
  </si>
  <si>
    <t>450-Rmn12</t>
  </si>
  <si>
    <t>450-Rmn12pro</t>
  </si>
  <si>
    <t>450-Rmn13-4G</t>
  </si>
  <si>
    <t>450-Rmn13-5G</t>
  </si>
  <si>
    <t>450-Rmn13pro-4G</t>
  </si>
  <si>
    <t>450-Rmn13pro-5G</t>
  </si>
  <si>
    <t>450-RmA5</t>
  </si>
  <si>
    <t>450-Rm15c/C85</t>
  </si>
  <si>
    <t>450-Rmn14s</t>
  </si>
  <si>
    <t>450-PocoM6pro</t>
  </si>
  <si>
    <t>450-PocoM6plus</t>
  </si>
  <si>
    <t>450-A06</t>
  </si>
  <si>
    <t>450-A25</t>
  </si>
  <si>
    <t>450-A34</t>
  </si>
  <si>
    <t>450-A35</t>
  </si>
  <si>
    <t>450-A37</t>
  </si>
  <si>
    <t>450-S23fe</t>
  </si>
  <si>
    <t>450-S24</t>
  </si>
  <si>
    <t>450-S24ultra</t>
  </si>
  <si>
    <t>450-S25</t>
  </si>
  <si>
    <t>450-S25plus</t>
  </si>
  <si>
    <t>450-S26</t>
  </si>
  <si>
    <t>450-S26ultra</t>
  </si>
  <si>
    <t>450-i14pro</t>
  </si>
  <si>
    <t>450-15pro</t>
  </si>
  <si>
    <t>450-i16pro</t>
  </si>
  <si>
    <t>450-i16e</t>
  </si>
  <si>
    <t>450-G04</t>
  </si>
  <si>
    <t>450-G05</t>
  </si>
  <si>
    <t>450-G24power</t>
  </si>
  <si>
    <t>450-G35</t>
  </si>
  <si>
    <t>450-G53</t>
  </si>
  <si>
    <t>450-G55</t>
  </si>
  <si>
    <t>450-G56</t>
  </si>
  <si>
    <t>450-G86-transparent</t>
  </si>
  <si>
    <t>450-E13</t>
  </si>
  <si>
    <t>450-E15</t>
  </si>
  <si>
    <t>456-ix</t>
  </si>
  <si>
    <t>456-i11promax</t>
  </si>
  <si>
    <t>456-i12promax</t>
  </si>
  <si>
    <t>456-iAir</t>
  </si>
  <si>
    <t>456-Rm12c</t>
  </si>
  <si>
    <t>456-Rm14c</t>
  </si>
  <si>
    <t>456-A05</t>
  </si>
  <si>
    <t>456-A06</t>
  </si>
  <si>
    <t>456-A17</t>
  </si>
  <si>
    <t>456-A25-5G</t>
  </si>
  <si>
    <t>456-A26</t>
  </si>
  <si>
    <t>REETIQUETAR VIENE MAL</t>
  </si>
  <si>
    <t>456-A34</t>
  </si>
  <si>
    <t>456-A35</t>
  </si>
  <si>
    <t>456-A36</t>
  </si>
  <si>
    <t>456-S25plus</t>
  </si>
  <si>
    <t>456-E14</t>
  </si>
  <si>
    <t>456-G04</t>
  </si>
  <si>
    <t>N-462-A06</t>
  </si>
  <si>
    <t>N-462-A14</t>
  </si>
  <si>
    <t>N-462-A16</t>
  </si>
  <si>
    <t>N-462-A17</t>
  </si>
  <si>
    <t>N-462-A26</t>
  </si>
  <si>
    <t>N-462-A32</t>
  </si>
  <si>
    <t>N-462-A35</t>
  </si>
  <si>
    <t>N-462-A36</t>
  </si>
  <si>
    <t>N-462-A52</t>
  </si>
  <si>
    <t>N-462-S22ultra</t>
  </si>
  <si>
    <t>N-462-S24</t>
  </si>
  <si>
    <t>N-462-S24plus</t>
  </si>
  <si>
    <t>N-462-S25</t>
  </si>
  <si>
    <t>N-462-S25fe</t>
  </si>
  <si>
    <t>N-462-S25plus</t>
  </si>
  <si>
    <t>N-462-S26</t>
  </si>
  <si>
    <t>N-462-S26plus</t>
  </si>
  <si>
    <t>N-462-S26ultra</t>
  </si>
  <si>
    <t>N-462-E14</t>
  </si>
  <si>
    <t>N-462-E22</t>
  </si>
  <si>
    <t>N-462-G05/G15</t>
  </si>
  <si>
    <t>N-462-G07</t>
  </si>
  <si>
    <t>N-462-G54</t>
  </si>
  <si>
    <t>N-462-G56</t>
  </si>
  <si>
    <t>N-462-i12</t>
  </si>
  <si>
    <t>N-462-i13</t>
  </si>
  <si>
    <t>N-462-i13promax</t>
  </si>
  <si>
    <t>N-462-i14promax</t>
  </si>
  <si>
    <t>N-462-i15</t>
  </si>
  <si>
    <t>N-462-i15plus</t>
  </si>
  <si>
    <t>N-462-i15pro</t>
  </si>
  <si>
    <t>N-462-i15promax</t>
  </si>
  <si>
    <t>N-462-i16</t>
  </si>
  <si>
    <t>N-462-i16pro</t>
  </si>
  <si>
    <t>N-462-i16promax</t>
  </si>
  <si>
    <t>474-i14pro-blue</t>
  </si>
  <si>
    <t>N-462-i17e</t>
  </si>
  <si>
    <t>474-i15plus-blue</t>
  </si>
  <si>
    <t>N-462-i17pro</t>
  </si>
  <si>
    <t>N-462-i17promax</t>
  </si>
  <si>
    <t>N-462-iAir</t>
  </si>
  <si>
    <t>N-462-PocoM7</t>
  </si>
  <si>
    <t>474-i15plus-mint</t>
  </si>
  <si>
    <t>474-i15pro-blk</t>
  </si>
  <si>
    <t>474-i15pro-purple</t>
  </si>
  <si>
    <t>N-462-PocoX7pro</t>
  </si>
  <si>
    <t>474-i16plus-blk</t>
  </si>
  <si>
    <t>474-i16plus-blue</t>
  </si>
  <si>
    <t>474-i16plus-purple</t>
  </si>
  <si>
    <t>N-462-Rm12c</t>
  </si>
  <si>
    <t>474-i16pro-blk</t>
  </si>
  <si>
    <t>474-i16pro-blue</t>
  </si>
  <si>
    <t>N-462-Rm13c</t>
  </si>
  <si>
    <t>474-i16pro-pink</t>
  </si>
  <si>
    <t>N-462-Rm14c</t>
  </si>
  <si>
    <t>474-i16pro-purple</t>
  </si>
  <si>
    <t>474-i16promax-blue</t>
  </si>
  <si>
    <t>N-462-Rm15</t>
  </si>
  <si>
    <t>474-i16promax-purple</t>
  </si>
  <si>
    <t>474-i17air-blk</t>
  </si>
  <si>
    <t>N-462-Rm15c/C85</t>
  </si>
  <si>
    <t>474-i17air-blue</t>
  </si>
  <si>
    <t>474-i17air-pink</t>
  </si>
  <si>
    <t>474-i17air-purple</t>
  </si>
  <si>
    <t>474-i17pro-purple</t>
  </si>
  <si>
    <t>474-i17promax-purple</t>
  </si>
  <si>
    <t>491-A05s</t>
  </si>
  <si>
    <t>491-A06</t>
  </si>
  <si>
    <t>491-A07</t>
  </si>
  <si>
    <t>491-A14</t>
  </si>
  <si>
    <t>491-A15</t>
  </si>
  <si>
    <t>491-A16</t>
  </si>
  <si>
    <t>491-A17</t>
  </si>
  <si>
    <t>491-A23</t>
  </si>
  <si>
    <t>491-A25</t>
  </si>
  <si>
    <t>491-A26</t>
  </si>
  <si>
    <t>491-A33</t>
  </si>
  <si>
    <t>491-A36</t>
  </si>
  <si>
    <t>491-A37</t>
  </si>
  <si>
    <t>491-A54</t>
  </si>
  <si>
    <t>491-A56</t>
  </si>
  <si>
    <t>491-A57</t>
  </si>
  <si>
    <t>491-S26</t>
  </si>
  <si>
    <t>491-S26plus</t>
  </si>
  <si>
    <t>491-E14</t>
  </si>
  <si>
    <t>498-A05s</t>
  </si>
  <si>
    <t>491-G04</t>
  </si>
  <si>
    <t>498-A06</t>
  </si>
  <si>
    <t>491-G24power</t>
  </si>
  <si>
    <t>491-G73</t>
  </si>
  <si>
    <t>498-A16</t>
  </si>
  <si>
    <t>491-G86</t>
  </si>
  <si>
    <t>498-A17</t>
  </si>
  <si>
    <t>498-A25</t>
  </si>
  <si>
    <t>491-i16</t>
  </si>
  <si>
    <t>498-A34</t>
  </si>
  <si>
    <t>491-i16e</t>
  </si>
  <si>
    <t>491-i16pro</t>
  </si>
  <si>
    <t>498-A52</t>
  </si>
  <si>
    <t>491-i17pro</t>
  </si>
  <si>
    <t>498-A57</t>
  </si>
  <si>
    <t>491-i17promax</t>
  </si>
  <si>
    <t>498-S26plus</t>
  </si>
  <si>
    <t>491-iAir</t>
  </si>
  <si>
    <t>498-G17</t>
  </si>
  <si>
    <t>491-PocoC40</t>
  </si>
  <si>
    <t>498-G24</t>
  </si>
  <si>
    <t>491-Reno13</t>
  </si>
  <si>
    <t>498-G24power</t>
  </si>
  <si>
    <t>498-G54</t>
  </si>
  <si>
    <t>491-Rm12c</t>
  </si>
  <si>
    <t>498-G72</t>
  </si>
  <si>
    <t>491-Rm14c</t>
  </si>
  <si>
    <t>498-i14pro</t>
  </si>
  <si>
    <t>498-iAir</t>
  </si>
  <si>
    <t>498-ise</t>
  </si>
  <si>
    <t>498-PocoM6pro</t>
  </si>
  <si>
    <t>498-PocoM8pro</t>
  </si>
  <si>
    <t>498-PocoX7pro</t>
  </si>
  <si>
    <t>498-Rm14c</t>
  </si>
  <si>
    <t>498-Rmn12</t>
  </si>
  <si>
    <t>499-ise2022</t>
  </si>
  <si>
    <t>499-ixr</t>
  </si>
  <si>
    <t>499-i11</t>
  </si>
  <si>
    <t>499-i11pro</t>
  </si>
  <si>
    <t>499-i11promax</t>
  </si>
  <si>
    <t>499-i12</t>
  </si>
  <si>
    <t>499-i13</t>
  </si>
  <si>
    <t>499-i16e</t>
  </si>
  <si>
    <t>499-i16pro</t>
  </si>
  <si>
    <t>499-i16promax</t>
  </si>
  <si>
    <t>499-i17e</t>
  </si>
  <si>
    <t>499-i17pro</t>
  </si>
  <si>
    <t>499-iAir</t>
  </si>
  <si>
    <t>514-A03s</t>
  </si>
  <si>
    <t>514-A04</t>
  </si>
  <si>
    <t>514-A04s</t>
  </si>
  <si>
    <t>514-A05</t>
  </si>
  <si>
    <t>514-A05s</t>
  </si>
  <si>
    <t>514-A06</t>
  </si>
  <si>
    <t>514-A07</t>
  </si>
  <si>
    <t>514-A14</t>
  </si>
  <si>
    <t>514-A15</t>
  </si>
  <si>
    <t>514-A16</t>
  </si>
  <si>
    <t>514-A17</t>
  </si>
  <si>
    <t>514-A25-5g</t>
  </si>
  <si>
    <t>514-A26</t>
  </si>
  <si>
    <t>514-A35</t>
  </si>
  <si>
    <t>514-A36</t>
  </si>
  <si>
    <t>514-A55</t>
  </si>
  <si>
    <t>514-A56</t>
  </si>
  <si>
    <t>514-S21</t>
  </si>
  <si>
    <t>514-S22</t>
  </si>
  <si>
    <t>514-S25</t>
  </si>
  <si>
    <t>514-S26</t>
  </si>
  <si>
    <t>514-S26plus</t>
  </si>
  <si>
    <t>514-S26ultra</t>
  </si>
  <si>
    <t>514-M55</t>
  </si>
  <si>
    <t>514-E15</t>
  </si>
  <si>
    <t>C-514-RmA5</t>
  </si>
  <si>
    <t>C-514-PocoC40</t>
  </si>
  <si>
    <t>C-514-PocoX5</t>
  </si>
  <si>
    <t>C-514-PocoX7pro</t>
  </si>
  <si>
    <t>C-514-PocoX8pro</t>
  </si>
  <si>
    <t>C-514-Rmn10pro</t>
  </si>
  <si>
    <t>C-514-Rmn11</t>
  </si>
  <si>
    <t>c-514-Rmn12-5G</t>
  </si>
  <si>
    <t>C-514-Rmn13pro5G</t>
  </si>
  <si>
    <t>C-514-Rmn14pro-4G</t>
  </si>
  <si>
    <t>C-514-Rmn14s</t>
  </si>
  <si>
    <t>540-A11-purple</t>
  </si>
  <si>
    <t>540-A11-navy</t>
  </si>
  <si>
    <t>540-A11-pink</t>
  </si>
  <si>
    <t>540-A11-red</t>
  </si>
  <si>
    <t>540-A9plus-blk</t>
  </si>
  <si>
    <t>540-iPad10-blk</t>
  </si>
  <si>
    <t>540-iPad10-purple</t>
  </si>
  <si>
    <t>540-iPad10-red</t>
  </si>
  <si>
    <t>540-iPad10-pink</t>
  </si>
  <si>
    <t>540-A11plus-purple</t>
  </si>
  <si>
    <t>540-A11plus-pink</t>
  </si>
  <si>
    <t>545-i15pro-blk</t>
  </si>
  <si>
    <t>545-i16pro-blk</t>
  </si>
  <si>
    <t>545-i16pro-purple</t>
  </si>
  <si>
    <t>545-i16pro-pink</t>
  </si>
  <si>
    <t>545-i16plus-blue</t>
  </si>
  <si>
    <t>567-i11-transparent</t>
  </si>
  <si>
    <t>567-i11-purple</t>
  </si>
  <si>
    <t>567-i11pro-transparent</t>
  </si>
  <si>
    <t>567-i12pro-purple</t>
  </si>
  <si>
    <t>567-i12promax-purple</t>
  </si>
  <si>
    <t>567-i16-blk</t>
  </si>
  <si>
    <t>567-i16pro-blk</t>
  </si>
  <si>
    <t>567-i16pro-purple</t>
  </si>
  <si>
    <t>567-i16pro-transparent</t>
  </si>
  <si>
    <t>567-i16promax-purple</t>
  </si>
  <si>
    <t>567-i17pro-blk</t>
  </si>
  <si>
    <t>567-i17pro-purple</t>
  </si>
  <si>
    <t>567-iAir-blk</t>
  </si>
  <si>
    <t>567-iAir-transparent</t>
  </si>
  <si>
    <t>567-iAir-purple</t>
  </si>
  <si>
    <t>576-A04s-purple</t>
  </si>
  <si>
    <t>576-A05-blk</t>
  </si>
  <si>
    <t>576-A05s-blk</t>
  </si>
  <si>
    <t>576-A06-blk</t>
  </si>
  <si>
    <t>576-A07-blk</t>
  </si>
  <si>
    <t>576-A07-mint</t>
  </si>
  <si>
    <t>576-A07-purple</t>
  </si>
  <si>
    <t>576-A15-mint</t>
  </si>
  <si>
    <t>576-A15-purple</t>
  </si>
  <si>
    <t>576-A16-mint</t>
  </si>
  <si>
    <t>576-A16-purple</t>
  </si>
  <si>
    <t>576-A17-blk</t>
  </si>
  <si>
    <t>576-A17-mint</t>
  </si>
  <si>
    <t>576-A17-purple</t>
  </si>
  <si>
    <t>576-A25-blk</t>
  </si>
  <si>
    <t>576-A25-mint</t>
  </si>
  <si>
    <t>576-A25-purple</t>
  </si>
  <si>
    <t>576-A26-blk</t>
  </si>
  <si>
    <t>576-A34-blk</t>
  </si>
  <si>
    <t>576-A35-purple</t>
  </si>
  <si>
    <t>576-A36-mint</t>
  </si>
  <si>
    <t>576-A36-purple</t>
  </si>
  <si>
    <t>576-A54-purple</t>
  </si>
  <si>
    <t>576-A55-blk</t>
  </si>
  <si>
    <t>576-A55-mint</t>
  </si>
  <si>
    <t>576-A56-blk</t>
  </si>
  <si>
    <t>576-A56-purple</t>
  </si>
  <si>
    <t>576-A57-mint</t>
  </si>
  <si>
    <t>576-A57-purple</t>
  </si>
  <si>
    <t>576-S24-blk</t>
  </si>
  <si>
    <t>576-S24-purple</t>
  </si>
  <si>
    <t>576-S24fe-blk</t>
  </si>
  <si>
    <t>576-S24fe-mint</t>
  </si>
  <si>
    <t>576-S24fe-purple</t>
  </si>
  <si>
    <t>576-S24plus-blk</t>
  </si>
  <si>
    <t>576-S24plus-purple</t>
  </si>
  <si>
    <t>576-S24ultra-blk</t>
  </si>
  <si>
    <t>576-S25-blk</t>
  </si>
  <si>
    <t>576-S25-mint</t>
  </si>
  <si>
    <t>576-S25-purple</t>
  </si>
  <si>
    <t>576-S25edge-mint</t>
  </si>
  <si>
    <t>576-S25plus-blk</t>
  </si>
  <si>
    <t>576-S25plus-mint</t>
  </si>
  <si>
    <t>576-S25plus-purple</t>
  </si>
  <si>
    <t>576-S26-mint</t>
  </si>
  <si>
    <t>576-S26ultra-mint</t>
  </si>
  <si>
    <t>578-A9</t>
  </si>
  <si>
    <t>MANDAR MELI TAMBIEN?</t>
  </si>
  <si>
    <t>582-A06-blk</t>
  </si>
  <si>
    <t>582-A06-blue</t>
  </si>
  <si>
    <t>582-A06-fuchsia</t>
  </si>
  <si>
    <t>582-A06-purple</t>
  </si>
  <si>
    <t>582-A07-fuchsia</t>
  </si>
  <si>
    <t>582-A16-fuchsia</t>
  </si>
  <si>
    <t>582-A16-purple</t>
  </si>
  <si>
    <t>582-A25-blk</t>
  </si>
  <si>
    <t>582-A25-blue</t>
  </si>
  <si>
    <t>582-A25-fuchsia</t>
  </si>
  <si>
    <t>582-A25-purple</t>
  </si>
  <si>
    <t>582-A26-blue</t>
  </si>
  <si>
    <t>582-A26-fuchsia</t>
  </si>
  <si>
    <t>582-A36-blue</t>
  </si>
  <si>
    <t>582-A36-fuchsia</t>
  </si>
  <si>
    <t>582-A36-purple</t>
  </si>
  <si>
    <t>582-A37-blk</t>
  </si>
  <si>
    <t>582-A37-blue</t>
  </si>
  <si>
    <t>582-A37-fuchsia</t>
  </si>
  <si>
    <t>582-A55-blk</t>
  </si>
  <si>
    <t>582-A55-fuchsia</t>
  </si>
  <si>
    <t>582-A55-purple</t>
  </si>
  <si>
    <t>582-A56-blk</t>
  </si>
  <si>
    <t>582-A56-blue</t>
  </si>
  <si>
    <t>582-A56-fuchsia</t>
  </si>
  <si>
    <t>582-A56-purple</t>
  </si>
  <si>
    <t>582-A57-blk</t>
  </si>
  <si>
    <t>582-A57-fuchsia</t>
  </si>
  <si>
    <t>582-S23fe-fuchsia</t>
  </si>
  <si>
    <t>582-S24fe-blk</t>
  </si>
  <si>
    <t>582-S24fe-blue</t>
  </si>
  <si>
    <t>582-S24fe-fuchsia</t>
  </si>
  <si>
    <t>582-S24fe-purple</t>
  </si>
  <si>
    <t>582-S24ultra-blue</t>
  </si>
  <si>
    <t>582-S24ultra-fuchsia</t>
  </si>
  <si>
    <t>582-S25fe-blk</t>
  </si>
  <si>
    <t>582-S25fe-blue</t>
  </si>
  <si>
    <t>582-S25fe-fuchsia</t>
  </si>
  <si>
    <t>582-S25fe-purple</t>
  </si>
  <si>
    <t>582-E30-blk</t>
  </si>
  <si>
    <t>582-G34-blk</t>
  </si>
  <si>
    <t>582-G35-blk</t>
  </si>
  <si>
    <t>582-G35-blue</t>
  </si>
  <si>
    <t>582-G35-fuchsia</t>
  </si>
  <si>
    <t>582-G35-purple</t>
  </si>
  <si>
    <t>582-G73-blk</t>
  </si>
  <si>
    <t>582-G73-blue</t>
  </si>
  <si>
    <t>582-G73-fuchsia</t>
  </si>
  <si>
    <t>584-A15-blk</t>
  </si>
  <si>
    <t>582-PocoM6-blk</t>
  </si>
  <si>
    <t>584-A25-blk</t>
  </si>
  <si>
    <t>582-Rmn14-4G-blk</t>
  </si>
  <si>
    <t>584-A25-red</t>
  </si>
  <si>
    <t>582-Rmn14-4G-fuchsia</t>
  </si>
  <si>
    <t>594-ixr</t>
  </si>
  <si>
    <t>584-A26-blk</t>
  </si>
  <si>
    <t>582-Rmn14pro-4G-blue</t>
  </si>
  <si>
    <t>594-i11promax</t>
  </si>
  <si>
    <t>584-A35-blk</t>
  </si>
  <si>
    <t>582-Rmn14pro-4G-fuchsia</t>
  </si>
  <si>
    <t>584-A35-blue</t>
  </si>
  <si>
    <t>594-i16</t>
  </si>
  <si>
    <t>582-Rmn14pro-4G-purple</t>
  </si>
  <si>
    <t>584-A35-red</t>
  </si>
  <si>
    <t>594-i16pro</t>
  </si>
  <si>
    <t>582-Rm13-blk</t>
  </si>
  <si>
    <t>584-A37-blk</t>
  </si>
  <si>
    <t>584-A37-blue</t>
  </si>
  <si>
    <t>594-I16plus</t>
  </si>
  <si>
    <t>584-A37-red</t>
  </si>
  <si>
    <t>594-i16promax</t>
  </si>
  <si>
    <t>584-A55-blk</t>
  </si>
  <si>
    <t>594-i16e</t>
  </si>
  <si>
    <t>584-A55-red</t>
  </si>
  <si>
    <t>594-i17</t>
  </si>
  <si>
    <t>584-A56-red</t>
  </si>
  <si>
    <t>594-i17pro</t>
  </si>
  <si>
    <t>584-A57-blk</t>
  </si>
  <si>
    <t>594-iAir</t>
  </si>
  <si>
    <t>584-A57-blue</t>
  </si>
  <si>
    <t>594-Rmn13-4G</t>
  </si>
  <si>
    <t>584-A57-red</t>
  </si>
  <si>
    <t>584-S23fe-blue</t>
  </si>
  <si>
    <t>594-Rmn13-5G</t>
  </si>
  <si>
    <t>584-S23fe-red</t>
  </si>
  <si>
    <t>584-S24fe-blk</t>
  </si>
  <si>
    <t>594-Rm14c</t>
  </si>
  <si>
    <t>584-S24fe-blue</t>
  </si>
  <si>
    <t>584-S24fe-red</t>
  </si>
  <si>
    <t>594-G86</t>
  </si>
  <si>
    <t>584-S24ultra-blk</t>
  </si>
  <si>
    <t>594-E14</t>
  </si>
  <si>
    <t>584-S24ultra-blue</t>
  </si>
  <si>
    <t>584-S24ultra-red</t>
  </si>
  <si>
    <t>594-A06</t>
  </si>
  <si>
    <t>584-S25-blk</t>
  </si>
  <si>
    <t>594-A06s</t>
  </si>
  <si>
    <t>584-S25-blue</t>
  </si>
  <si>
    <t>594-A07</t>
  </si>
  <si>
    <t>584-S25-red</t>
  </si>
  <si>
    <t>594-A17</t>
  </si>
  <si>
    <t>584-S25ultra-blk</t>
  </si>
  <si>
    <t>594-A26</t>
  </si>
  <si>
    <t>584-S25ultra-blue</t>
  </si>
  <si>
    <t>594-A37</t>
  </si>
  <si>
    <t>584-S25ultra-red</t>
  </si>
  <si>
    <t>594-A57</t>
  </si>
  <si>
    <t>584-E14-blk</t>
  </si>
  <si>
    <t>594-S25plus</t>
  </si>
  <si>
    <t>584-E14-purple</t>
  </si>
  <si>
    <t>594-S26</t>
  </si>
  <si>
    <t>584-E14-red</t>
  </si>
  <si>
    <t>584-E30-blue</t>
  </si>
  <si>
    <t>594-S26plus</t>
  </si>
  <si>
    <t>594-S26ultra</t>
  </si>
  <si>
    <t>584-G05-purple</t>
  </si>
  <si>
    <t>584-G05-red</t>
  </si>
  <si>
    <t>584-G06-purple</t>
  </si>
  <si>
    <t>584-G24-purple</t>
  </si>
  <si>
    <t>584-G34-purple</t>
  </si>
  <si>
    <t>584-G53-blk</t>
  </si>
  <si>
    <t>584-G53-blue</t>
  </si>
  <si>
    <t>584-G56-purple</t>
  </si>
  <si>
    <t>584-G86-red</t>
  </si>
  <si>
    <t>584-PocoM6-red</t>
  </si>
  <si>
    <t>584-PocoX5pro-blk</t>
  </si>
  <si>
    <t>584-PocoX6pro-red</t>
  </si>
  <si>
    <t>584-PocoX7pro-blk</t>
  </si>
  <si>
    <t>584-PocoX7pro-blue</t>
  </si>
  <si>
    <t>584-PocoX7pro-red</t>
  </si>
  <si>
    <t>584-Rm13-blk</t>
  </si>
  <si>
    <t>584-Rm13-red</t>
  </si>
  <si>
    <t>584-Rm14c/C75-blk</t>
  </si>
  <si>
    <t>584-Rm14c/C75-blue</t>
  </si>
  <si>
    <t>584-Rmn11-red</t>
  </si>
  <si>
    <t>584-Rmn13-5G-blk</t>
  </si>
  <si>
    <t>584-Rmn13-5G-blue</t>
  </si>
  <si>
    <t>584-Rmn13-5G-red</t>
  </si>
  <si>
    <t>584-Rmn13pro-5G-blue</t>
  </si>
  <si>
    <t>584-Rmn13pro-5G-red</t>
  </si>
  <si>
    <t>584-Rmn14-4G-blk</t>
  </si>
  <si>
    <t>584-Rmn14pro-4G-blk</t>
  </si>
  <si>
    <t>598-A17</t>
  </si>
  <si>
    <t>598-A26</t>
  </si>
  <si>
    <t>598-A37</t>
  </si>
  <si>
    <t>N-598-A56</t>
  </si>
  <si>
    <t>598-S26</t>
  </si>
  <si>
    <t>598-S26plus</t>
  </si>
  <si>
    <t>598-S26ultra</t>
  </si>
  <si>
    <t>598-E14</t>
  </si>
  <si>
    <t>N-598-i11</t>
  </si>
  <si>
    <t>N-598-i12</t>
  </si>
  <si>
    <t>599-A9plus-blk</t>
  </si>
  <si>
    <t>N-598-i13</t>
  </si>
  <si>
    <t>X40</t>
  </si>
  <si>
    <t>N-598-i14</t>
  </si>
  <si>
    <t>599-A9-blk</t>
  </si>
  <si>
    <t>X50</t>
  </si>
  <si>
    <t>N-598-i14pro</t>
  </si>
  <si>
    <t>599-A11plus-blk</t>
  </si>
  <si>
    <t>x40</t>
  </si>
  <si>
    <t>N-598-i15</t>
  </si>
  <si>
    <t xml:space="preserve">Apuntar lo que vendimos </t>
  </si>
  <si>
    <t>N-598-i16</t>
  </si>
  <si>
    <t>599-RmPad2</t>
  </si>
  <si>
    <t>N-598-i16promax</t>
  </si>
  <si>
    <t>PANTACO</t>
  </si>
  <si>
    <t>N-598-i17</t>
  </si>
  <si>
    <t>30 CAJAS</t>
  </si>
  <si>
    <t>598-i17pro</t>
  </si>
  <si>
    <t>598-iAir</t>
  </si>
  <si>
    <t>8 CAJAS</t>
  </si>
  <si>
    <t>6 CAJAS</t>
  </si>
  <si>
    <t>598-PocoM7pro</t>
  </si>
  <si>
    <t>N-598-PocoM8pro-5G</t>
  </si>
  <si>
    <t>N-601-A11</t>
  </si>
  <si>
    <t>x100</t>
  </si>
  <si>
    <t>601-A11plus</t>
  </si>
  <si>
    <t>x70</t>
  </si>
  <si>
    <t>601-A9plus</t>
  </si>
  <si>
    <t>X70</t>
  </si>
  <si>
    <t>601-A11</t>
  </si>
  <si>
    <t>601-iPad10</t>
  </si>
  <si>
    <t>602-iPad10-red</t>
  </si>
  <si>
    <t>602-A11-red</t>
  </si>
  <si>
    <t>602-A11-blue</t>
  </si>
  <si>
    <t>602-A11plus-blk</t>
  </si>
  <si>
    <t>602-A11plus-pink</t>
  </si>
  <si>
    <t>602-A11plus-red</t>
  </si>
  <si>
    <t>602-A11plus-blue</t>
  </si>
  <si>
    <t>603-iPad10-red</t>
  </si>
  <si>
    <t>603-iPad10-blue</t>
  </si>
  <si>
    <t>603-iPad10-purple</t>
  </si>
  <si>
    <t>C-604-i11pro-pink</t>
  </si>
  <si>
    <t>603-A11-blk</t>
  </si>
  <si>
    <t>604-i11promax-pink</t>
  </si>
  <si>
    <t>603-A11-red</t>
  </si>
  <si>
    <t>603-A11-purple</t>
  </si>
  <si>
    <t>604-i11promax-purple</t>
  </si>
  <si>
    <t>603-A11-navy</t>
  </si>
  <si>
    <t>604-i14pro-transparent-C</t>
  </si>
  <si>
    <t>603-A11plus-blk</t>
  </si>
  <si>
    <t>604-i15-transparent</t>
  </si>
  <si>
    <t>603-A11plus-purple</t>
  </si>
  <si>
    <t>604-i16pro-blk-C</t>
  </si>
  <si>
    <t>604-i16pro-purple-C</t>
  </si>
  <si>
    <t>603-A11plus-navy</t>
  </si>
  <si>
    <t>C-604-i16pro-pink</t>
  </si>
  <si>
    <t>604-i16pro-transparent-C</t>
  </si>
  <si>
    <t>603-A9-blk</t>
  </si>
  <si>
    <t>C-604-i16promax-blk</t>
  </si>
  <si>
    <t>C-604-i17promax-pink</t>
  </si>
  <si>
    <t>603-A9plus-blk</t>
  </si>
  <si>
    <t>C-604-i17pro-purple</t>
  </si>
  <si>
    <t>checar si reetiquetar</t>
  </si>
  <si>
    <t>C-604-i17pro-transparent</t>
  </si>
  <si>
    <t>603-A9plus-blue</t>
  </si>
  <si>
    <t>C-604-iAir-transparent</t>
  </si>
  <si>
    <t>tuve que reetiquetar hay que checarlas cada vez</t>
  </si>
  <si>
    <t>C-604-iAir-purple</t>
  </si>
  <si>
    <t>603-A9plus-red</t>
  </si>
  <si>
    <t>C-604-iAir-pink</t>
  </si>
  <si>
    <t>606-i11promax</t>
  </si>
  <si>
    <t>606-i13promax</t>
  </si>
  <si>
    <t>606-i14promax</t>
  </si>
  <si>
    <t>606-i15promax</t>
  </si>
  <si>
    <t>606-i16</t>
  </si>
  <si>
    <t>606-i16plus</t>
  </si>
  <si>
    <t>606-i16pro</t>
  </si>
  <si>
    <t>606-i16promax</t>
  </si>
  <si>
    <t>607-A25</t>
  </si>
  <si>
    <t>607-S24</t>
  </si>
  <si>
    <t>607-S25</t>
  </si>
  <si>
    <t>607-S25plus</t>
  </si>
  <si>
    <t>607-S25ultra</t>
  </si>
  <si>
    <t>613-A11plus-blk</t>
  </si>
  <si>
    <t>613-A11plus-purple</t>
  </si>
  <si>
    <t>613-A11plus-pink</t>
  </si>
  <si>
    <t>613-A11plus-navy</t>
  </si>
  <si>
    <t>613-A11plus-magenta</t>
  </si>
  <si>
    <t>613-A11-blk</t>
  </si>
  <si>
    <t>613-A11-purple</t>
  </si>
  <si>
    <t>613-A11-navy</t>
  </si>
  <si>
    <t>613-A11-magenta</t>
  </si>
  <si>
    <t>613-A11-red</t>
  </si>
  <si>
    <t>613-RmPad-2-red</t>
  </si>
  <si>
    <t>613-RmPad-2-blk</t>
  </si>
  <si>
    <t>613-RmPad-2-purple</t>
  </si>
  <si>
    <t>613-RmPad-2-navy</t>
  </si>
  <si>
    <t>616-i14promax-blk</t>
  </si>
  <si>
    <t>616-i15plus-blk</t>
  </si>
  <si>
    <t>616-i15pro-blk</t>
  </si>
  <si>
    <t>617-iPad10-blk</t>
  </si>
  <si>
    <t>616-i15pro-blue</t>
  </si>
  <si>
    <t>617-iPad10-red</t>
  </si>
  <si>
    <t>617-iPad10-blue</t>
  </si>
  <si>
    <t>616-i15pro-pink</t>
  </si>
  <si>
    <t>616-i15promax-pink</t>
  </si>
  <si>
    <t>616-i16-blue</t>
  </si>
  <si>
    <t>616-i16-pink</t>
  </si>
  <si>
    <t>616-i16e-blk</t>
  </si>
  <si>
    <t>616-i16e-pink</t>
  </si>
  <si>
    <t>616-i16plus-blk</t>
  </si>
  <si>
    <t>616-i16plus-blue</t>
  </si>
  <si>
    <t>616-i16plus-pink</t>
  </si>
  <si>
    <t>616-i16pro-blk</t>
  </si>
  <si>
    <t>616-i16pro-blue</t>
  </si>
  <si>
    <t>616-i16pro-pink</t>
  </si>
  <si>
    <t>616-i16promax-blue</t>
  </si>
  <si>
    <t>616-i16promax-pink</t>
  </si>
  <si>
    <t>C-621-i11-purple</t>
  </si>
  <si>
    <t>621-i11promax-purple</t>
  </si>
  <si>
    <t>621-i12-transparent</t>
  </si>
  <si>
    <t>621-i12promax-blk</t>
  </si>
  <si>
    <t>C-621-i13-transparent</t>
  </si>
  <si>
    <t>621-i13promax-blk</t>
  </si>
  <si>
    <t>628-i16plus</t>
  </si>
  <si>
    <t>621-i13promax-purple</t>
  </si>
  <si>
    <t>621-i14-transparent</t>
  </si>
  <si>
    <t>628-i16promax</t>
  </si>
  <si>
    <t>621-i14-pink</t>
  </si>
  <si>
    <t>621-i15plus-purple</t>
  </si>
  <si>
    <t>621-i15pro-purple</t>
  </si>
  <si>
    <t>621-i15pro-pink</t>
  </si>
  <si>
    <t>628-i16e</t>
  </si>
  <si>
    <t>621-i15promax-blk</t>
  </si>
  <si>
    <t>628-i17air</t>
  </si>
  <si>
    <t>621-i15promax-purple</t>
  </si>
  <si>
    <t>621-i15promax-pink</t>
  </si>
  <si>
    <t>621-i15promax-transparent</t>
  </si>
  <si>
    <t>C-621-i16-pink</t>
  </si>
  <si>
    <t>C-621-i16-transparent</t>
  </si>
  <si>
    <t xml:space="preserve">   </t>
  </si>
  <si>
    <t>C-621-i16plus-blk</t>
  </si>
  <si>
    <t>620-A9plus</t>
  </si>
  <si>
    <t>C-621-i16plus-purple</t>
  </si>
  <si>
    <t>621-i16plus-pink</t>
  </si>
  <si>
    <t>621-i16pro-purple</t>
  </si>
  <si>
    <t>639-i15pro-purple</t>
  </si>
  <si>
    <t>621-i16pro-pink</t>
  </si>
  <si>
    <t>620-iPad10</t>
  </si>
  <si>
    <t>639-i16pro-blk</t>
  </si>
  <si>
    <t>621-i16pro-transparent</t>
  </si>
  <si>
    <t>639-i16pro-purple</t>
  </si>
  <si>
    <t>621-i16promax-purple</t>
  </si>
  <si>
    <t>639-i17-pink</t>
  </si>
  <si>
    <t>639-i17pro-blk</t>
  </si>
  <si>
    <t>621-i16promax-transparent</t>
  </si>
  <si>
    <t>639-i17pro-pink</t>
  </si>
  <si>
    <t>621-i16promax-pink</t>
  </si>
  <si>
    <t>639-i17pro-purple</t>
  </si>
  <si>
    <t>621-i17promax-blk</t>
  </si>
  <si>
    <t>639-i17promax-pink</t>
  </si>
  <si>
    <t>621-i17promax-purple</t>
  </si>
  <si>
    <t>621-i17promax-pink</t>
  </si>
  <si>
    <t>621-i17promax-transparent</t>
  </si>
  <si>
    <t>639-i17promax-purple</t>
  </si>
  <si>
    <t>C-621-i17-pink</t>
  </si>
  <si>
    <t>639-iAir-blk</t>
  </si>
  <si>
    <t>C-621-i17pro-purple</t>
  </si>
  <si>
    <t>639-iAir-pink</t>
  </si>
  <si>
    <t>C-621-i17pro-blk</t>
  </si>
  <si>
    <t>639-iAir-purple</t>
  </si>
  <si>
    <t>C-621-i17pro-transparent</t>
  </si>
  <si>
    <t>C-621-i17pro-pink</t>
  </si>
  <si>
    <t>C-621-iAir-purple</t>
  </si>
  <si>
    <t>C-621-iAir-blk</t>
  </si>
  <si>
    <t>C-621-iAir-transparent</t>
  </si>
  <si>
    <t>C-621-iAir-pink</t>
  </si>
  <si>
    <t>641-i11</t>
  </si>
  <si>
    <t>641-i12</t>
  </si>
  <si>
    <t>641-i12promax</t>
  </si>
  <si>
    <t>641-i13</t>
  </si>
  <si>
    <t>641-i13promax</t>
  </si>
  <si>
    <t>641-i14</t>
  </si>
  <si>
    <t>641-i14plus</t>
  </si>
  <si>
    <t>641-i14pro</t>
  </si>
  <si>
    <t>641-i14promax</t>
  </si>
  <si>
    <t>641-i15</t>
  </si>
  <si>
    <t>641-i15plus</t>
  </si>
  <si>
    <t>641-i15pro</t>
  </si>
  <si>
    <t>641-i15promax</t>
  </si>
  <si>
    <t>641-i16</t>
  </si>
  <si>
    <t>641-i16plus</t>
  </si>
  <si>
    <t>641-i16pro</t>
  </si>
  <si>
    <t>641-i16promax</t>
  </si>
  <si>
    <t>641-i17</t>
  </si>
  <si>
    <t>641-i17e/i16e</t>
  </si>
  <si>
    <t>641-i17pro</t>
  </si>
  <si>
    <t>641-i17promax</t>
  </si>
  <si>
    <t>641-iAir</t>
  </si>
  <si>
    <t>641-ise2022</t>
  </si>
  <si>
    <t>641-ix</t>
  </si>
  <si>
    <t>641-ixr</t>
  </si>
  <si>
    <t>641-ixsmax</t>
  </si>
  <si>
    <t>642-A06-blk</t>
  </si>
  <si>
    <t>642-A06-red</t>
  </si>
  <si>
    <t>642-A16-red</t>
  </si>
  <si>
    <t>642-A25-blk</t>
  </si>
  <si>
    <t>642-A26-blk</t>
  </si>
  <si>
    <t>642-A26-navy</t>
  </si>
  <si>
    <t>642-A26-red</t>
  </si>
  <si>
    <t>642-A36-blk</t>
  </si>
  <si>
    <t>642-A36-navy</t>
  </si>
  <si>
    <t>642-A36-red</t>
  </si>
  <si>
    <t>642-S23fe-red</t>
  </si>
  <si>
    <t>642-S24-blk</t>
  </si>
  <si>
    <t>642-S24-navy</t>
  </si>
  <si>
    <t>642-S24-red</t>
  </si>
  <si>
    <t>642-S24plus-navy</t>
  </si>
  <si>
    <t>642-S24plus-red</t>
  </si>
  <si>
    <t>642-S24fe-red</t>
  </si>
  <si>
    <t>642-S25-blk</t>
  </si>
  <si>
    <t>642-S25-navy</t>
  </si>
  <si>
    <t>642-S25-red</t>
  </si>
  <si>
    <t>642-S25plus-blk</t>
  </si>
  <si>
    <t>642-S25plus-navy</t>
  </si>
  <si>
    <t>642-S25plus-red</t>
  </si>
  <si>
    <t>643-i17pro-blk</t>
  </si>
  <si>
    <t>643-i17pro-blue</t>
  </si>
  <si>
    <t>643-i17pro-purple</t>
  </si>
  <si>
    <t>643-i17promax-blk</t>
  </si>
  <si>
    <t>643-i17promax-blue</t>
  </si>
  <si>
    <t>643-i17promax-purple</t>
  </si>
  <si>
    <t>643-iAir-blk</t>
  </si>
  <si>
    <t>643-iAir-blue</t>
  </si>
  <si>
    <t>643-iAir-purple</t>
  </si>
  <si>
    <t>644-i11-blk</t>
  </si>
  <si>
    <t>644-i11-navy</t>
  </si>
  <si>
    <t>644-i12-blk</t>
  </si>
  <si>
    <t>644-i12-blue</t>
  </si>
  <si>
    <t>644-i12promax-blk</t>
  </si>
  <si>
    <t>644-i13-blk</t>
  </si>
  <si>
    <t>644-i13-pink</t>
  </si>
  <si>
    <t>644-i13promax-blk</t>
  </si>
  <si>
    <t>644-i14-blk</t>
  </si>
  <si>
    <t>644-i14-purple</t>
  </si>
  <si>
    <t>644-i14pro-blk</t>
  </si>
  <si>
    <t>644-i14promax-blue</t>
  </si>
  <si>
    <t>644-i15-navy</t>
  </si>
  <si>
    <t>644-i15pro-blk</t>
  </si>
  <si>
    <t>644-i16-blk</t>
  </si>
  <si>
    <t>644-i16-blue</t>
  </si>
  <si>
    <t>644-i16plus-purple</t>
  </si>
  <si>
    <t>644-i16promax-blk</t>
  </si>
  <si>
    <t>644-i16promax-pink</t>
  </si>
  <si>
    <t>644-i16promax-purple</t>
  </si>
  <si>
    <t>644-i17-blk</t>
  </si>
  <si>
    <t>644-i17pro-blk</t>
  </si>
  <si>
    <t>644-i17pro-blue</t>
  </si>
  <si>
    <t>644-i17pro-pink</t>
  </si>
  <si>
    <t>644-i17pro-purple</t>
  </si>
  <si>
    <t>644-i17promax-blk</t>
  </si>
  <si>
    <t>644-i17promax-blue</t>
  </si>
  <si>
    <t>644-i17promax-pink</t>
  </si>
  <si>
    <t>644-i17promax-purple</t>
  </si>
  <si>
    <t>644-iAir-blk</t>
  </si>
  <si>
    <t>644-iAir-blue</t>
  </si>
  <si>
    <t>644-iAir-purple</t>
  </si>
  <si>
    <t>645-i15plus-purple</t>
  </si>
  <si>
    <t>645-i15pro-blue</t>
  </si>
  <si>
    <t>645-i15pro-pink</t>
  </si>
  <si>
    <t>645-i15pro-purple</t>
  </si>
  <si>
    <t>645-i15promax-purple</t>
  </si>
  <si>
    <t>645-i16plus-blk</t>
  </si>
  <si>
    <t>645-i16plus-blue</t>
  </si>
  <si>
    <t>645-i16plus-pink</t>
  </si>
  <si>
    <t>645-i16plus-purple</t>
  </si>
  <si>
    <t>645-i16pro-blue</t>
  </si>
  <si>
    <t>645-i16pro-pink</t>
  </si>
  <si>
    <t>645-i16pro-purple</t>
  </si>
  <si>
    <t>646-i11promax-blk</t>
  </si>
  <si>
    <t>646-i11promax-purple</t>
  </si>
  <si>
    <t>646-i12-pink</t>
  </si>
  <si>
    <t>646-i12promax-purple</t>
  </si>
  <si>
    <t>646-i13promax-blk</t>
  </si>
  <si>
    <t>646-i13promax-purple</t>
  </si>
  <si>
    <t>646-i15-purple</t>
  </si>
  <si>
    <t>646-i15plus-blk</t>
  </si>
  <si>
    <t>646-i15plus-purple</t>
  </si>
  <si>
    <t>646-i15pro-navy</t>
  </si>
  <si>
    <t>646-i15pro-pink</t>
  </si>
  <si>
    <t>646-i15pro-purple</t>
  </si>
  <si>
    <t>646-i15promax-pink</t>
  </si>
  <si>
    <t>646-i15promax-purple</t>
  </si>
  <si>
    <t>646-i16-purple</t>
  </si>
  <si>
    <t>646-i16plus-blk</t>
  </si>
  <si>
    <t>646-i16plus-navy</t>
  </si>
  <si>
    <t>646-i16plus-pink</t>
  </si>
  <si>
    <t>646-i16plus-purple</t>
  </si>
  <si>
    <t>646-i16pro-blk</t>
  </si>
  <si>
    <t>646-i16pro-navy</t>
  </si>
  <si>
    <t>646-i16pro-pink</t>
  </si>
  <si>
    <t>646-i16pro-purple</t>
  </si>
  <si>
    <t>646-i16promax-pink</t>
  </si>
  <si>
    <t>646-i16promax-purple</t>
  </si>
  <si>
    <t>647-i11pro</t>
  </si>
  <si>
    <t>647-i12</t>
  </si>
  <si>
    <t>647-i12pro</t>
  </si>
  <si>
    <t>647-i13pro</t>
  </si>
  <si>
    <t>647-i16e</t>
  </si>
  <si>
    <t>647-iAir</t>
  </si>
  <si>
    <t>647-i17</t>
  </si>
  <si>
    <t>647-i17pro</t>
  </si>
  <si>
    <t>647-i17promax</t>
  </si>
  <si>
    <t>650-S26ultra</t>
  </si>
  <si>
    <t>CH-650-i11</t>
  </si>
  <si>
    <t>CH-650-i12</t>
  </si>
  <si>
    <t>CH-650-i13</t>
  </si>
  <si>
    <t>CH-650-i13pro</t>
  </si>
  <si>
    <t>CH-650-i13promax</t>
  </si>
  <si>
    <t>648-A05</t>
  </si>
  <si>
    <t>CH-650-i14</t>
  </si>
  <si>
    <t>CH-650-i14plus</t>
  </si>
  <si>
    <t>648-A06</t>
  </si>
  <si>
    <t>CH-650-i14pro</t>
  </si>
  <si>
    <t>CH-650-i14promax</t>
  </si>
  <si>
    <t>CH-650-i15plus</t>
  </si>
  <si>
    <t>648-A07</t>
  </si>
  <si>
    <t>CH-650-i15pro</t>
  </si>
  <si>
    <t>CH-650-i15promax</t>
  </si>
  <si>
    <t>648-A15</t>
  </si>
  <si>
    <t>CH-650-i16</t>
  </si>
  <si>
    <t>648-A16</t>
  </si>
  <si>
    <t>648-A17</t>
  </si>
  <si>
    <t>CH-650-i16plus</t>
  </si>
  <si>
    <t>648-A22-5G</t>
  </si>
  <si>
    <t>CH-650-i16pro</t>
  </si>
  <si>
    <t>CH-650-i16promax</t>
  </si>
  <si>
    <t>648-A25</t>
  </si>
  <si>
    <t>CH-650-i17</t>
  </si>
  <si>
    <t>CH-650-i17e/i16e</t>
  </si>
  <si>
    <t>648-A26</t>
  </si>
  <si>
    <t>CH-650-i17pro</t>
  </si>
  <si>
    <t>CH-650-i17promax</t>
  </si>
  <si>
    <t>648-A32</t>
  </si>
  <si>
    <t>CH-650-iair</t>
  </si>
  <si>
    <t>CH-650-ise</t>
  </si>
  <si>
    <t>648-A35</t>
  </si>
  <si>
    <t>648-A36</t>
  </si>
  <si>
    <t>648-A37</t>
  </si>
  <si>
    <t>648-A50</t>
  </si>
  <si>
    <t>648-A52</t>
  </si>
  <si>
    <t>648-A53</t>
  </si>
  <si>
    <t>648-A55</t>
  </si>
  <si>
    <t>648-A56</t>
  </si>
  <si>
    <t>648-A57</t>
  </si>
  <si>
    <t>648-A71</t>
  </si>
  <si>
    <t>648-S10plus</t>
  </si>
  <si>
    <t>648-S20fe</t>
  </si>
  <si>
    <t>648-S21</t>
  </si>
  <si>
    <t>648-S21fe</t>
  </si>
  <si>
    <t>648-S22</t>
  </si>
  <si>
    <t>648-S22ultra</t>
  </si>
  <si>
    <t>648-S23</t>
  </si>
  <si>
    <t>648-S23fe</t>
  </si>
  <si>
    <t>648-S24</t>
  </si>
  <si>
    <t>648-S24fe</t>
  </si>
  <si>
    <t>648-S25</t>
  </si>
  <si>
    <t>648-S25edge</t>
  </si>
  <si>
    <t>648-S25fe</t>
  </si>
  <si>
    <t>648-S25plus</t>
  </si>
  <si>
    <t>648-S25ultra</t>
  </si>
  <si>
    <t>648-S26</t>
  </si>
  <si>
    <t>651-ix</t>
  </si>
  <si>
    <t>648-S26plus</t>
  </si>
  <si>
    <t>648-S26ultra</t>
  </si>
  <si>
    <t>651-i16plus</t>
  </si>
  <si>
    <t>651-iAir</t>
  </si>
  <si>
    <t>651-i17</t>
  </si>
  <si>
    <t>652-i17</t>
  </si>
  <si>
    <t>652-i17pro</t>
  </si>
  <si>
    <t>652-iAir</t>
  </si>
  <si>
    <t>653-S25</t>
  </si>
  <si>
    <t>653-S25plus</t>
  </si>
  <si>
    <t>653-S25fe</t>
  </si>
  <si>
    <t>653-S26</t>
  </si>
  <si>
    <t>653-S26plus</t>
  </si>
  <si>
    <t>653-i17</t>
  </si>
  <si>
    <t>653-i17air</t>
  </si>
  <si>
    <t>655-A11-pink</t>
  </si>
  <si>
    <t>656-A9plus-navy</t>
  </si>
  <si>
    <t>x60</t>
  </si>
  <si>
    <t>655-A11-blue</t>
  </si>
  <si>
    <t>x47</t>
  </si>
  <si>
    <t>656-A9plus-red</t>
  </si>
  <si>
    <t>656-A9plus-purple</t>
  </si>
  <si>
    <t>656-A9-red</t>
  </si>
  <si>
    <t>656-A9-purple</t>
  </si>
  <si>
    <t>656-A9-blk</t>
  </si>
  <si>
    <t>656-A9-navy</t>
  </si>
  <si>
    <t>656-A11-navy</t>
  </si>
  <si>
    <t>656-A11-purple</t>
  </si>
  <si>
    <t>656-A11-red</t>
  </si>
  <si>
    <t>656-A11plus-red</t>
  </si>
  <si>
    <t>X47</t>
  </si>
  <si>
    <t>656-A11plus-purple</t>
  </si>
  <si>
    <t>656-iPad10-purple</t>
  </si>
  <si>
    <t>x45</t>
  </si>
  <si>
    <t>657-iPad10-purple</t>
  </si>
  <si>
    <t>x30</t>
  </si>
  <si>
    <t>657-iPad10-red</t>
  </si>
  <si>
    <t>657-A11-blk</t>
  </si>
  <si>
    <t>x50</t>
  </si>
  <si>
    <t>657-A11-navy</t>
  </si>
  <si>
    <t>657-A11-red</t>
  </si>
  <si>
    <t>657-A11-purple</t>
  </si>
  <si>
    <t>657-A11plus-navy</t>
  </si>
  <si>
    <t>657-A11plus-red</t>
  </si>
  <si>
    <t>657-A11plus-purple</t>
  </si>
  <si>
    <t>658-A9plus-blk</t>
  </si>
  <si>
    <t>658-A9plus-red</t>
  </si>
  <si>
    <t>658-iPad10-red</t>
  </si>
  <si>
    <t>658-A11-navy</t>
  </si>
  <si>
    <t>658-A11-pink</t>
  </si>
  <si>
    <t>658-A11-red</t>
  </si>
  <si>
    <t>658-A11plus-navy</t>
  </si>
  <si>
    <t>658-A11plus-pink</t>
  </si>
  <si>
    <t>658-A11plus-red</t>
  </si>
  <si>
    <t>658-A11plus-blk</t>
  </si>
  <si>
    <t>658-A9-red</t>
  </si>
  <si>
    <t>659-i12-pink</t>
  </si>
  <si>
    <t>659-i13promax-pink</t>
  </si>
  <si>
    <t>659-i14-blk</t>
  </si>
  <si>
    <t>659-i14-pink</t>
  </si>
  <si>
    <t>659-i14-purple</t>
  </si>
  <si>
    <t>659-i14pro-pink</t>
  </si>
  <si>
    <t>659-i14promax-pink</t>
  </si>
  <si>
    <t>659-i15-blk</t>
  </si>
  <si>
    <t>659-i15-purple</t>
  </si>
  <si>
    <t>659-i15pro-blk</t>
  </si>
  <si>
    <t>659-i15pro-pink</t>
  </si>
  <si>
    <t>659-i15promax-blue</t>
  </si>
  <si>
    <t>659-i15promax-pink</t>
  </si>
  <si>
    <t>659-i15promax-purple</t>
  </si>
  <si>
    <t>659-i16-blk</t>
  </si>
  <si>
    <t>659-i16-blue</t>
  </si>
  <si>
    <t>659-i16-pink</t>
  </si>
  <si>
    <t>659-i16-purple</t>
  </si>
  <si>
    <t>659-i16pro-blk</t>
  </si>
  <si>
    <t>659-i16pro-blue</t>
  </si>
  <si>
    <t>659-i16pro-pink</t>
  </si>
  <si>
    <t>659-i16pro-purple</t>
  </si>
  <si>
    <t>659-i16promax-blue</t>
  </si>
  <si>
    <t>659-i16promax-purple</t>
  </si>
  <si>
    <t>662-A07-blk</t>
  </si>
  <si>
    <t>662-A07-cream</t>
  </si>
  <si>
    <t>662-A07-fuchsia</t>
  </si>
  <si>
    <t>662-A07-green</t>
  </si>
  <si>
    <t>662-A16-blk</t>
  </si>
  <si>
    <t>662-A16-cream</t>
  </si>
  <si>
    <t>662-A16-fuchsia</t>
  </si>
  <si>
    <t>662-A16-green</t>
  </si>
  <si>
    <t>662-A17-blk</t>
  </si>
  <si>
    <t>662-A17-fuchsia</t>
  </si>
  <si>
    <t>662-A17-green</t>
  </si>
  <si>
    <t>662-A26-fuchsia</t>
  </si>
  <si>
    <t>662-A26-blk</t>
  </si>
  <si>
    <t>662-A26-green</t>
  </si>
  <si>
    <t>662-A36-blk</t>
  </si>
  <si>
    <t>662-A36-fuchsia</t>
  </si>
  <si>
    <t>662-A36-green</t>
  </si>
  <si>
    <t>662-A37-cream</t>
  </si>
  <si>
    <t>662-A55-blk</t>
  </si>
  <si>
    <t>662-A55-cream</t>
  </si>
  <si>
    <t>662-A55-green</t>
  </si>
  <si>
    <t>662-A56-blk</t>
  </si>
  <si>
    <t>662-A56-cream</t>
  </si>
  <si>
    <t>662-A56-fuchsia</t>
  </si>
  <si>
    <t>662-A56-green</t>
  </si>
  <si>
    <t>662-A57-blk</t>
  </si>
  <si>
    <t>662-A57-cream</t>
  </si>
  <si>
    <t>662-A57-fuchsia</t>
  </si>
  <si>
    <t>662-A57-green</t>
  </si>
  <si>
    <t>662-S24-green</t>
  </si>
  <si>
    <t>662-S24fe-blk</t>
  </si>
  <si>
    <t>662-S24fe-cream</t>
  </si>
  <si>
    <t>662-S24plus-blk</t>
  </si>
  <si>
    <t>662-S25-blk</t>
  </si>
  <si>
    <t>662-S25-cream</t>
  </si>
  <si>
    <t>662-S25-fuchsia</t>
  </si>
  <si>
    <t>662-S25fe-blk</t>
  </si>
  <si>
    <t>662-S25fe-cream</t>
  </si>
  <si>
    <t>662-S25fe-fuchsia</t>
  </si>
  <si>
    <t>662-S25plus-blk</t>
  </si>
  <si>
    <t>662-S25ultra-fuchsia</t>
  </si>
  <si>
    <t>662-S26-blk</t>
  </si>
  <si>
    <t>662-S26-cream</t>
  </si>
  <si>
    <t>662-S26-fuchsia</t>
  </si>
  <si>
    <t>662-S26-green</t>
  </si>
  <si>
    <t>662-S26plus-blk</t>
  </si>
  <si>
    <t>662-S26plus-cream</t>
  </si>
  <si>
    <t>662-S26plus-fuchsia</t>
  </si>
  <si>
    <t>662-S26plus-green</t>
  </si>
  <si>
    <t>662-S26ultra-blk</t>
  </si>
  <si>
    <t>662-S26ultra-cream</t>
  </si>
  <si>
    <t>662-S26ultra-fuchsia</t>
  </si>
  <si>
    <t>663-i15-blk</t>
  </si>
  <si>
    <t>664-i11promax-pink</t>
  </si>
  <si>
    <t>663-i16-blk</t>
  </si>
  <si>
    <t>662-E15-cream</t>
  </si>
  <si>
    <t>663-i16plus-blk</t>
  </si>
  <si>
    <t>662-E15-green</t>
  </si>
  <si>
    <t>664-i14pro-pink</t>
  </si>
  <si>
    <t>663-i16pro-blk</t>
  </si>
  <si>
    <t>662-G05-blk</t>
  </si>
  <si>
    <t>663-i16e-blk</t>
  </si>
  <si>
    <t>664-i14promax-pink</t>
  </si>
  <si>
    <t>662-G05-cream</t>
  </si>
  <si>
    <t>663-i16promax-blk</t>
  </si>
  <si>
    <t>664-i15plus-blk</t>
  </si>
  <si>
    <t>662-G05-fuchsia</t>
  </si>
  <si>
    <t>663-i17-blk</t>
  </si>
  <si>
    <t>662-G05-green</t>
  </si>
  <si>
    <t>664-i15plus-pink</t>
  </si>
  <si>
    <t>663-i17pro-blk</t>
  </si>
  <si>
    <t>663-i17promax-blk</t>
  </si>
  <si>
    <t>664-i15pro-pink</t>
  </si>
  <si>
    <t>663-iAir-blk</t>
  </si>
  <si>
    <t>662-G17-blk</t>
  </si>
  <si>
    <t>664-i15promax-lilac</t>
  </si>
  <si>
    <t>662-G17-cream</t>
  </si>
  <si>
    <t>664-i15promax-pink</t>
  </si>
  <si>
    <t>662-G17-fuchsia</t>
  </si>
  <si>
    <t>662-G17-green</t>
  </si>
  <si>
    <t>664-i16plus-blk</t>
  </si>
  <si>
    <t>664-i16plus-blue</t>
  </si>
  <si>
    <t>664-i16plus-lilac</t>
  </si>
  <si>
    <t>664-i16plus-pink</t>
  </si>
  <si>
    <t>664-i16pro-blk</t>
  </si>
  <si>
    <t>662-G35-blk</t>
  </si>
  <si>
    <t>664-i16pro-blue</t>
  </si>
  <si>
    <t>662-G35-cream</t>
  </si>
  <si>
    <t>664-i16pro-lilac</t>
  </si>
  <si>
    <t>662-G56-cream</t>
  </si>
  <si>
    <t>664-i16pro-pink</t>
  </si>
  <si>
    <t>662-G86-blk</t>
  </si>
  <si>
    <t>664-i16promax-blue</t>
  </si>
  <si>
    <t>662-G86-cream</t>
  </si>
  <si>
    <t>664-i16promax-lilac</t>
  </si>
  <si>
    <t>662-G86-green</t>
  </si>
  <si>
    <t>664-i16promax-pink</t>
  </si>
  <si>
    <t>662-G86power-cream</t>
  </si>
  <si>
    <t>662-PocoC71-blk</t>
  </si>
  <si>
    <t>662-PocoF7pro-blk</t>
  </si>
  <si>
    <t>662-PocoF7pro-cream</t>
  </si>
  <si>
    <t>662-PocoM7-blk</t>
  </si>
  <si>
    <t>662-PocoM8-blk</t>
  </si>
  <si>
    <t>662-PocoM8-cream</t>
  </si>
  <si>
    <t>662-PocoM8-fuchsia</t>
  </si>
  <si>
    <t>662-PocoM8-green</t>
  </si>
  <si>
    <t>662-PocoX7pro-blk</t>
  </si>
  <si>
    <t>662-Rm15-blk</t>
  </si>
  <si>
    <t>662-Rm15-cream</t>
  </si>
  <si>
    <t>662-Rm15-fuchsia</t>
  </si>
  <si>
    <t>662-Rm15c/C85-blk</t>
  </si>
  <si>
    <t>662-Rm15c/C85-fuchsia</t>
  </si>
  <si>
    <t>662-Rm15c/C85-green</t>
  </si>
  <si>
    <t>662-Rmn14s-cream</t>
  </si>
  <si>
    <t>662-Rmn14s-fuchsia</t>
  </si>
  <si>
    <t>662-Rmn15-5G-blk</t>
  </si>
  <si>
    <t>662-Rmn15-5G-cream</t>
  </si>
  <si>
    <t>662-Rmn15-5G-green</t>
  </si>
  <si>
    <t>662-Rmn15pro-5G-blk</t>
  </si>
  <si>
    <t>662-Rmn15pro-5G-cream</t>
  </si>
  <si>
    <t>662-Rmn15pro-5G-green</t>
  </si>
  <si>
    <t>662-Rmn15pro+5G-blk</t>
  </si>
  <si>
    <t>662-Rmn15pro+5G-cream</t>
  </si>
  <si>
    <t>662-Rmn15pro+5G-fuchsia</t>
  </si>
  <si>
    <t>662-Rmn15pro+5G-green</t>
  </si>
  <si>
    <t>665-PocoX6pro-blue</t>
  </si>
  <si>
    <t>666-G35-blk</t>
  </si>
  <si>
    <t>666-G55-blk</t>
  </si>
  <si>
    <t>665-PocoX6pro-blk</t>
  </si>
  <si>
    <t>666-PocoX6pro-blk</t>
  </si>
  <si>
    <t>666-PocoX6pro-fuchsia</t>
  </si>
  <si>
    <t>665-PocoX6pro-fuchsia</t>
  </si>
  <si>
    <t>666-PocoX6pro-mint</t>
  </si>
  <si>
    <t>666-PocoX6pro-lilac</t>
  </si>
  <si>
    <t>666-PocoX7pro-fuchsia</t>
  </si>
  <si>
    <t>665-PocoX6pro-purple</t>
  </si>
  <si>
    <t>666-A26-blk</t>
  </si>
  <si>
    <t>666-A35-blk</t>
  </si>
  <si>
    <t>666-S23fe-blk</t>
  </si>
  <si>
    <t>665-PocoX6pro-cream</t>
  </si>
  <si>
    <t>666-S24-blk</t>
  </si>
  <si>
    <t>666-S24-fuchsia</t>
  </si>
  <si>
    <t>666-S24-mint</t>
  </si>
  <si>
    <t>665-PocoX6pro-pink</t>
  </si>
  <si>
    <t>666-S24-lilac</t>
  </si>
  <si>
    <t>666-S24plus-blk</t>
  </si>
  <si>
    <t>666-S24plus-lilac</t>
  </si>
  <si>
    <t>666-S24ultra-blk</t>
  </si>
  <si>
    <t>666-S24ultra-lilac</t>
  </si>
  <si>
    <t>665-A26-cream</t>
  </si>
  <si>
    <t>666-S24fe-blk</t>
  </si>
  <si>
    <t>666-S24fe-fuchsia</t>
  </si>
  <si>
    <t>666-S24fe-lilac</t>
  </si>
  <si>
    <t>665-S23fe-blk</t>
  </si>
  <si>
    <t>666-S25-blk</t>
  </si>
  <si>
    <t>666-S25-fuchsia</t>
  </si>
  <si>
    <t>666-S25-mint</t>
  </si>
  <si>
    <t>665-S23fe-pink</t>
  </si>
  <si>
    <t>666-S25-lilac</t>
  </si>
  <si>
    <t>666-S25plus-blk</t>
  </si>
  <si>
    <t>666-S25plus-lilac</t>
  </si>
  <si>
    <t>665-S24-blk</t>
  </si>
  <si>
    <t>666-S25ultra-blk</t>
  </si>
  <si>
    <t>666-S25ultra-fuchsia</t>
  </si>
  <si>
    <t>665-S24-purple</t>
  </si>
  <si>
    <t>665-S24-pink</t>
  </si>
  <si>
    <t>665-S24fe-blk</t>
  </si>
  <si>
    <t>665-S24plus-blk</t>
  </si>
  <si>
    <t>665-S24ultra-blk</t>
  </si>
  <si>
    <t>665-S25-blue</t>
  </si>
  <si>
    <t>667-S24-purple</t>
  </si>
  <si>
    <t>665-S25-blk</t>
  </si>
  <si>
    <t>667-S24fe-purple</t>
  </si>
  <si>
    <t>665-S25-fuchsia</t>
  </si>
  <si>
    <t>667-S24fe-pink</t>
  </si>
  <si>
    <t>667-S24plus-purple</t>
  </si>
  <si>
    <t>665-S25-purple</t>
  </si>
  <si>
    <t>667-S25-blk</t>
  </si>
  <si>
    <t>667-S25-blue</t>
  </si>
  <si>
    <t>665-S25-cream</t>
  </si>
  <si>
    <t>667-S25-purple</t>
  </si>
  <si>
    <t>667-S25-pink</t>
  </si>
  <si>
    <t>665-S25-pink</t>
  </si>
  <si>
    <t>667-S25plus-blk</t>
  </si>
  <si>
    <t>667-S25plus-purple</t>
  </si>
  <si>
    <t>665-S25plus-blk</t>
  </si>
  <si>
    <t>667-S25ultra-pink</t>
  </si>
  <si>
    <t>665-S25plus-purple</t>
  </si>
  <si>
    <t>665-S25plus-pink</t>
  </si>
  <si>
    <t>669-G04/G24-blk</t>
  </si>
  <si>
    <t>669-G04/G24-pink</t>
  </si>
  <si>
    <t>669-G04/G24-white</t>
  </si>
  <si>
    <t>669-G24power-blk</t>
  </si>
  <si>
    <t>669-G24power-pink</t>
  </si>
  <si>
    <t>669-G24power-purple</t>
  </si>
  <si>
    <t>669-G24power-white</t>
  </si>
  <si>
    <t>669-G35-blk</t>
  </si>
  <si>
    <t>669-G35-pink</t>
  </si>
  <si>
    <t>669-G35-purple</t>
  </si>
  <si>
    <t>669-G35-white</t>
  </si>
  <si>
    <t>669-G54-blk</t>
  </si>
  <si>
    <t>669-G54-pink</t>
  </si>
  <si>
    <t>669-G54-purple</t>
  </si>
  <si>
    <t>669-G54-white</t>
  </si>
  <si>
    <t>669-G55-blk</t>
  </si>
  <si>
    <t>669-G55-pink</t>
  </si>
  <si>
    <t>669-G55-white</t>
  </si>
  <si>
    <t>669-G75-pink</t>
  </si>
  <si>
    <t>669-G75-white</t>
  </si>
  <si>
    <t>669-G84-blk</t>
  </si>
  <si>
    <t>669-G84-pink</t>
  </si>
  <si>
    <t>669-G84-purple</t>
  </si>
  <si>
    <t>669-G84-white</t>
  </si>
  <si>
    <t>669-G85-blk</t>
  </si>
  <si>
    <t>669-G85-pink</t>
  </si>
  <si>
    <t>669-G85-purple</t>
  </si>
  <si>
    <t>669-G85-white</t>
  </si>
  <si>
    <t>669-i11promax-blk</t>
  </si>
  <si>
    <t>670-PocoM7pro-blue</t>
  </si>
  <si>
    <t>669-i11promax-purple</t>
  </si>
  <si>
    <t>669-i14-blk</t>
  </si>
  <si>
    <t>670-PocoM7pro-pink</t>
  </si>
  <si>
    <t>669-i14plus-blk</t>
  </si>
  <si>
    <t>670-PocoM7pro-purple</t>
  </si>
  <si>
    <t>669-i14pro-blk</t>
  </si>
  <si>
    <t>670-PocoM7pro-red</t>
  </si>
  <si>
    <t>669-i14promax-blk</t>
  </si>
  <si>
    <t>670-PocoX6pro-pink</t>
  </si>
  <si>
    <t>669-i15-blk</t>
  </si>
  <si>
    <t>670-PocoX6pro-red</t>
  </si>
  <si>
    <t>669-i15plus-blk</t>
  </si>
  <si>
    <t>670-PocoX7pro-pink</t>
  </si>
  <si>
    <t>669-i15plus-purple</t>
  </si>
  <si>
    <t>670-Rm14c/C75-blue</t>
  </si>
  <si>
    <t>669-i15pro-blk</t>
  </si>
  <si>
    <t>669-i16-blk</t>
  </si>
  <si>
    <t>670-Rm14c/C75-pink</t>
  </si>
  <si>
    <t>669-i16-pink</t>
  </si>
  <si>
    <t>670-Rm14c/C75-red</t>
  </si>
  <si>
    <t>669-i16-purple</t>
  </si>
  <si>
    <t>669-i16plus-blk</t>
  </si>
  <si>
    <t>670-E14-pink</t>
  </si>
  <si>
    <t>669-i16plus-purple</t>
  </si>
  <si>
    <t>670-E14-red</t>
  </si>
  <si>
    <t>670-G24power-purple</t>
  </si>
  <si>
    <t>669-i16plus-white</t>
  </si>
  <si>
    <t>670-G24power-red</t>
  </si>
  <si>
    <t>669-i16pro-blk</t>
  </si>
  <si>
    <t>670-G35-blue</t>
  </si>
  <si>
    <t>669-i16pro-pink</t>
  </si>
  <si>
    <t>670-G35-pink</t>
  </si>
  <si>
    <t>669-i16pro-purple</t>
  </si>
  <si>
    <t>670-G35-red</t>
  </si>
  <si>
    <t>669-i16promax-purple</t>
  </si>
  <si>
    <t>670-G54-red</t>
  </si>
  <si>
    <t>669-i16e-blk</t>
  </si>
  <si>
    <t>670-G55-red</t>
  </si>
  <si>
    <t>669-i16e-pink</t>
  </si>
  <si>
    <t>670-G75-red</t>
  </si>
  <si>
    <t>669-i16e-purple</t>
  </si>
  <si>
    <t>670-G84-pink</t>
  </si>
  <si>
    <t>669-i16e-white</t>
  </si>
  <si>
    <t>670-G84-red</t>
  </si>
  <si>
    <t>669-i17-pink</t>
  </si>
  <si>
    <t>670-G85-red</t>
  </si>
  <si>
    <t>669-i17-white</t>
  </si>
  <si>
    <t>670-S24-blue</t>
  </si>
  <si>
    <t>669-iAir-pink</t>
  </si>
  <si>
    <t>670-S24fe-red</t>
  </si>
  <si>
    <t>669-iAir-white</t>
  </si>
  <si>
    <t>670-S25-pink</t>
  </si>
  <si>
    <t>669-i17pro-pink</t>
  </si>
  <si>
    <t>670-S25-red</t>
  </si>
  <si>
    <t>669-i17pro-white</t>
  </si>
  <si>
    <t>670-S25plus-blue</t>
  </si>
  <si>
    <t>670-S25plus-purple</t>
  </si>
  <si>
    <t>669-Rm14C/C75-blk</t>
  </si>
  <si>
    <t>670-S26-blue</t>
  </si>
  <si>
    <t>671-i11-white</t>
  </si>
  <si>
    <t>669-Rm14C/C75-pink</t>
  </si>
  <si>
    <t>670-S26-pink</t>
  </si>
  <si>
    <t>669-Rm14C/C75-purple</t>
  </si>
  <si>
    <t>670-S26plus-blue</t>
  </si>
  <si>
    <t>671-i12-purple</t>
  </si>
  <si>
    <t>669-Rm14C/C75-white</t>
  </si>
  <si>
    <t>670-S26plus-pink</t>
  </si>
  <si>
    <t>671-i13promax-purple</t>
  </si>
  <si>
    <t>670-S26plus-purple</t>
  </si>
  <si>
    <t>671-i14-purple</t>
  </si>
  <si>
    <t>671-i14plus-blk</t>
  </si>
  <si>
    <t>671-i14plus-purple</t>
  </si>
  <si>
    <t>671-i14pro-purple</t>
  </si>
  <si>
    <t>671-i14promax-purple</t>
  </si>
  <si>
    <t>671-i15-purple</t>
  </si>
  <si>
    <t>671-i15plus-blk</t>
  </si>
  <si>
    <t>671-i15plus-purple</t>
  </si>
  <si>
    <t>671-i15pro-blk</t>
  </si>
  <si>
    <t>671-i15pro-purple</t>
  </si>
  <si>
    <t>671-i15promax-pink</t>
  </si>
  <si>
    <t>671-i15promax-purple</t>
  </si>
  <si>
    <t>671-i16-purple</t>
  </si>
  <si>
    <t>671-i16-white</t>
  </si>
  <si>
    <t>671-i16e-blk</t>
  </si>
  <si>
    <t>671-i16e-pink</t>
  </si>
  <si>
    <t>671-i16e-purple</t>
  </si>
  <si>
    <t>671-i16e-white</t>
  </si>
  <si>
    <t>671-i16plus-blk</t>
  </si>
  <si>
    <t>671-i16plus-purple</t>
  </si>
  <si>
    <t>671-i16plus-white</t>
  </si>
  <si>
    <t>671-i16pro-blk</t>
  </si>
  <si>
    <t>671-i16pro-pink</t>
  </si>
  <si>
    <t>671-i16pro-purple</t>
  </si>
  <si>
    <t>671-i16pro-white</t>
  </si>
  <si>
    <t>671-i16promax-purple</t>
  </si>
  <si>
    <t>674-A9plus-blk</t>
  </si>
  <si>
    <t>674-A9plus-fuchsia</t>
  </si>
  <si>
    <t>674-A9plus-navy</t>
  </si>
  <si>
    <t>674-iPad10-purple</t>
  </si>
  <si>
    <t>674-iPad10-fuchsia</t>
  </si>
  <si>
    <t>674-A11plus-blk</t>
  </si>
  <si>
    <t>N-675-A35-navy</t>
  </si>
  <si>
    <t>674-A11plus-fuchsia</t>
  </si>
  <si>
    <t>674-A11plus-purple</t>
  </si>
  <si>
    <t>N-675-A35-blk</t>
  </si>
  <si>
    <t>674-A11-blk</t>
  </si>
  <si>
    <t>N-675-A35-purple</t>
  </si>
  <si>
    <t>674-A11-fuchsia</t>
  </si>
  <si>
    <t>674-A11-purple</t>
  </si>
  <si>
    <t>N-675-S23fe-blk</t>
  </si>
  <si>
    <t>N-675-S24-blk</t>
  </si>
  <si>
    <t>N-675-S24plus-blk</t>
  </si>
  <si>
    <t>N-675-S24plus-pink</t>
  </si>
  <si>
    <t>N-675-S25-blk</t>
  </si>
  <si>
    <t>N-675-S25-purple</t>
  </si>
  <si>
    <t>N-675-S25-pink</t>
  </si>
  <si>
    <t>N-675-S25plus-blk</t>
  </si>
  <si>
    <t>N-675-S25plus-pink</t>
  </si>
  <si>
    <t>N-675-S25fe-blk</t>
  </si>
  <si>
    <t>N-675-S25fe-pink</t>
  </si>
  <si>
    <t>676-i11-purple</t>
  </si>
  <si>
    <t>676-i11promax-navy</t>
  </si>
  <si>
    <t>676-i11promax-purple</t>
  </si>
  <si>
    <t>676-i12-purple</t>
  </si>
  <si>
    <t>676-i13-purple</t>
  </si>
  <si>
    <t>676-i13promax-navy</t>
  </si>
  <si>
    <t>676-i13promax-purple</t>
  </si>
  <si>
    <t>676-i14-blk</t>
  </si>
  <si>
    <t>676-i14-navy</t>
  </si>
  <si>
    <t>676-i14-purple</t>
  </si>
  <si>
    <t>676-i14plus-navy</t>
  </si>
  <si>
    <t>676-i14plus-purple</t>
  </si>
  <si>
    <t>676-i14pro-navy</t>
  </si>
  <si>
    <t>676-i14pro-purple</t>
  </si>
  <si>
    <t>676-i14promax-navy</t>
  </si>
  <si>
    <t>676-i14promax-purple</t>
  </si>
  <si>
    <t>676-i15-blk</t>
  </si>
  <si>
    <t>676-i15-navy</t>
  </si>
  <si>
    <t>676-i15-purple</t>
  </si>
  <si>
    <t>676-i15plus-navy</t>
  </si>
  <si>
    <t>676-i15plus-purple</t>
  </si>
  <si>
    <t>676-i15pro-navy</t>
  </si>
  <si>
    <t>676-i15pro-purple</t>
  </si>
  <si>
    <t>676-i15promax-blk</t>
  </si>
  <si>
    <t>676-i15promax-navy</t>
  </si>
  <si>
    <t>676-i15promax-purple</t>
  </si>
  <si>
    <t>676-i16-blk</t>
  </si>
  <si>
    <t>676-i16-navy</t>
  </si>
  <si>
    <t>676-i16-purple</t>
  </si>
  <si>
    <t>678-A07-blk</t>
  </si>
  <si>
    <t>676-i16plus-blk</t>
  </si>
  <si>
    <t>678-A07-navy</t>
  </si>
  <si>
    <t>676-i16plus-navy</t>
  </si>
  <si>
    <t>678-A07-purple</t>
  </si>
  <si>
    <t>676-i16plus-purple</t>
  </si>
  <si>
    <t>678-A07-red</t>
  </si>
  <si>
    <t>676-i16pro-blk</t>
  </si>
  <si>
    <t>678-A16-blk</t>
  </si>
  <si>
    <t>676-i16pro-navy</t>
  </si>
  <si>
    <t>678-A17-blk</t>
  </si>
  <si>
    <t>676-i16pro-purple</t>
  </si>
  <si>
    <t>678-A17-navy</t>
  </si>
  <si>
    <t>676-i16promax-navy</t>
  </si>
  <si>
    <t>678-A17-purple</t>
  </si>
  <si>
    <t>676-i16promax-purple</t>
  </si>
  <si>
    <t>678-A17-red</t>
  </si>
  <si>
    <t>676-i16e-blk</t>
  </si>
  <si>
    <t>678-A26-blk</t>
  </si>
  <si>
    <t>676-i16e-navy</t>
  </si>
  <si>
    <t>678-A26-navy</t>
  </si>
  <si>
    <t>676-i16e-purple</t>
  </si>
  <si>
    <t>678-A26-purple</t>
  </si>
  <si>
    <t>678-A26-red</t>
  </si>
  <si>
    <t>678-A36-blk</t>
  </si>
  <si>
    <t>678-A37-blk</t>
  </si>
  <si>
    <t>678-A37-navy</t>
  </si>
  <si>
    <t>678-A37-purple</t>
  </si>
  <si>
    <t>678-A37-red</t>
  </si>
  <si>
    <t>678-A55-blk</t>
  </si>
  <si>
    <t>678-A55-navy</t>
  </si>
  <si>
    <t>679-i13-navy</t>
  </si>
  <si>
    <t>678-A55-purple</t>
  </si>
  <si>
    <t>678-A56-blk</t>
  </si>
  <si>
    <t>678-A56-navy</t>
  </si>
  <si>
    <t>678-A56-purple</t>
  </si>
  <si>
    <t>678-A56-red</t>
  </si>
  <si>
    <t>679-i14-navy</t>
  </si>
  <si>
    <t>678-A57-blk</t>
  </si>
  <si>
    <t>679-i14plus-blk</t>
  </si>
  <si>
    <t>678-A57-navy</t>
  </si>
  <si>
    <t>679-i14plus-navy</t>
  </si>
  <si>
    <t>678-A57-purple</t>
  </si>
  <si>
    <t>679-i14promax-navy</t>
  </si>
  <si>
    <t>678-A57-red</t>
  </si>
  <si>
    <t>678-S23fe-blk</t>
  </si>
  <si>
    <t>678-S24fe-blk</t>
  </si>
  <si>
    <t>679-i15pro-navy</t>
  </si>
  <si>
    <t>678-S24fe-navy</t>
  </si>
  <si>
    <t>678-S24fe-purple</t>
  </si>
  <si>
    <t>678-S24fe-red</t>
  </si>
  <si>
    <t>678-S24ultra-blk</t>
  </si>
  <si>
    <t>678-S25-blk</t>
  </si>
  <si>
    <t>678-S25-purple</t>
  </si>
  <si>
    <t>678-S25-red</t>
  </si>
  <si>
    <t>679-i15plus-blk</t>
  </si>
  <si>
    <t>678-S25fe-blk</t>
  </si>
  <si>
    <t>678-S25fe-navy</t>
  </si>
  <si>
    <t>679-i15plus-navy</t>
  </si>
  <si>
    <t>678-S25fe-purple</t>
  </si>
  <si>
    <t>678-S25fe-red</t>
  </si>
  <si>
    <t>679-i16-navy</t>
  </si>
  <si>
    <t>678-S25plus-blk</t>
  </si>
  <si>
    <t>678-S25plus-red</t>
  </si>
  <si>
    <t>679-i16plus-blk</t>
  </si>
  <si>
    <t>678-S25ultra-blk</t>
  </si>
  <si>
    <t>679-i16plus-navy</t>
  </si>
  <si>
    <t>678-S25ultra-navy</t>
  </si>
  <si>
    <t>678-S25ultra-purple</t>
  </si>
  <si>
    <t>679-i16pro-navy</t>
  </si>
  <si>
    <t>678-S25ultra-red</t>
  </si>
  <si>
    <t>678-S26-blk</t>
  </si>
  <si>
    <t>678-S26-navy</t>
  </si>
  <si>
    <t>678-S26-purple</t>
  </si>
  <si>
    <t>679-i16promax-navy</t>
  </si>
  <si>
    <t>678-S26-red</t>
  </si>
  <si>
    <t>678-S26ultra-blk</t>
  </si>
  <si>
    <t>679-i17-blk</t>
  </si>
  <si>
    <t>678-S26ultra-navy</t>
  </si>
  <si>
    <t>679-i17-navy</t>
  </si>
  <si>
    <t>678-S26ultra-purple</t>
  </si>
  <si>
    <t>679-i17pro-blk</t>
  </si>
  <si>
    <t>678-S26ultra-red</t>
  </si>
  <si>
    <t>679-i17pro-navy</t>
  </si>
  <si>
    <t>678-G05-blk</t>
  </si>
  <si>
    <t>678-G05-navy</t>
  </si>
  <si>
    <t>678-G05-purple</t>
  </si>
  <si>
    <t>678-G05-red</t>
  </si>
  <si>
    <t>679-iAir-blk</t>
  </si>
  <si>
    <t>678-G06-blk</t>
  </si>
  <si>
    <t>679-iAir-navy</t>
  </si>
  <si>
    <t>680-i11promax-navy</t>
  </si>
  <si>
    <t>678-G06-navy</t>
  </si>
  <si>
    <t>678-G06-purple</t>
  </si>
  <si>
    <t>680-i11promax-purple</t>
  </si>
  <si>
    <t>678-G06-red</t>
  </si>
  <si>
    <t>680-i13promax-purple</t>
  </si>
  <si>
    <t>678-G15-blk</t>
  </si>
  <si>
    <t>680-i14-pink</t>
  </si>
  <si>
    <t>678-G15-navy</t>
  </si>
  <si>
    <t>678-G15-purple</t>
  </si>
  <si>
    <t>680-i14-purple</t>
  </si>
  <si>
    <t>678-G15-red</t>
  </si>
  <si>
    <t>680-i14plus-purple</t>
  </si>
  <si>
    <t>678-G17-blk</t>
  </si>
  <si>
    <t>680-i14pro-purple</t>
  </si>
  <si>
    <t>678-G17-navy</t>
  </si>
  <si>
    <t>680-i15-pink</t>
  </si>
  <si>
    <t>678-G17-purple</t>
  </si>
  <si>
    <t>680-i15-purple</t>
  </si>
  <si>
    <t>678-G17-red</t>
  </si>
  <si>
    <t>680-i15-red</t>
  </si>
  <si>
    <t>678-G24-blk</t>
  </si>
  <si>
    <t>680-i15plus-navy</t>
  </si>
  <si>
    <t>678-G24-navy</t>
  </si>
  <si>
    <t>680-i15plus-purple</t>
  </si>
  <si>
    <t>678-G24-purple</t>
  </si>
  <si>
    <t>680-i15pro-navy</t>
  </si>
  <si>
    <t>678-G56-blk</t>
  </si>
  <si>
    <t>678-G56-navy</t>
  </si>
  <si>
    <t>680-i15pro-purple</t>
  </si>
  <si>
    <t>678-G56-purple</t>
  </si>
  <si>
    <t>680-i15promax-pink</t>
  </si>
  <si>
    <t>678-G56-red</t>
  </si>
  <si>
    <t>680-i15promax-purple</t>
  </si>
  <si>
    <t>678-G67-blk</t>
  </si>
  <si>
    <t>680-i16-navy</t>
  </si>
  <si>
    <t>678-G67-navy</t>
  </si>
  <si>
    <t>680-i16-pink</t>
  </si>
  <si>
    <t>678-G67-purple</t>
  </si>
  <si>
    <t>678-G67-red</t>
  </si>
  <si>
    <t>680-i16-purple</t>
  </si>
  <si>
    <t>678-G75-red</t>
  </si>
  <si>
    <t>680-i16-red</t>
  </si>
  <si>
    <t>678-G85-blk</t>
  </si>
  <si>
    <t>680-i16plus-navy</t>
  </si>
  <si>
    <t>678-G85-blue</t>
  </si>
  <si>
    <t>680-i16plus-pink</t>
  </si>
  <si>
    <t>678-G85-navy</t>
  </si>
  <si>
    <t>678-G85-purple</t>
  </si>
  <si>
    <t>680-i16plus-purple</t>
  </si>
  <si>
    <t>678-G85-red</t>
  </si>
  <si>
    <t>680-i16plus-red</t>
  </si>
  <si>
    <t>678-G86-blk</t>
  </si>
  <si>
    <t>680-i16pro-navy</t>
  </si>
  <si>
    <t>678-G86-navy</t>
  </si>
  <si>
    <t>680-i16pro-pink</t>
  </si>
  <si>
    <t>678-G86-purple</t>
  </si>
  <si>
    <t>680-i16pro-purple</t>
  </si>
  <si>
    <t>678-G86-red</t>
  </si>
  <si>
    <t>680-i16pro-red</t>
  </si>
  <si>
    <t>678-G86power-blk</t>
  </si>
  <si>
    <t>680-i16promax-pink</t>
  </si>
  <si>
    <t>678-G86power-navy</t>
  </si>
  <si>
    <t>678-G86power-purple</t>
  </si>
  <si>
    <t>680-i16promax-purple</t>
  </si>
  <si>
    <t>678-G86power-red</t>
  </si>
  <si>
    <t>678-PocoM7pro-blk</t>
  </si>
  <si>
    <t>678-PocoM7pro-purple</t>
  </si>
  <si>
    <t>678-PocoM7pro-red</t>
  </si>
  <si>
    <t>678-PocoM8pro-blk</t>
  </si>
  <si>
    <t>678-PocoM8pro-navy</t>
  </si>
  <si>
    <t>678-PocoM8pro-purple</t>
  </si>
  <si>
    <t>678-PocoM8pro-red</t>
  </si>
  <si>
    <t>678-PocoX7pro-blk</t>
  </si>
  <si>
    <t>678-PocoX7pro-navy</t>
  </si>
  <si>
    <t>678-PocoX7pro-purple</t>
  </si>
  <si>
    <t>678-PocoX7pro-red</t>
  </si>
  <si>
    <t>678-PocoX8pro-blk</t>
  </si>
  <si>
    <t>678-PocoX8pro-navy</t>
  </si>
  <si>
    <t>678-PocoX8pro-purple</t>
  </si>
  <si>
    <t>678-PocoX8pro-red</t>
  </si>
  <si>
    <t>678-Rm14c/C75-navy</t>
  </si>
  <si>
    <t>678-Rm14c/C75-purple</t>
  </si>
  <si>
    <t>678-Rm14c/C75-red</t>
  </si>
  <si>
    <t>678-Rm15-blk</t>
  </si>
  <si>
    <t>678-Rm15-navy</t>
  </si>
  <si>
    <t>678-Rm15-purple</t>
  </si>
  <si>
    <t>678-Rm15-red</t>
  </si>
  <si>
    <t>678-Rm15c/C85-red</t>
  </si>
  <si>
    <t>678-RmA5-navy</t>
  </si>
  <si>
    <t>678-RmA5-purple</t>
  </si>
  <si>
    <t>678-RmA5-red</t>
  </si>
  <si>
    <t>678-Rmn14-4G-navy</t>
  </si>
  <si>
    <t>678-Rmn14-4G-purple</t>
  </si>
  <si>
    <t>678-Rmn14-4G-red</t>
  </si>
  <si>
    <t>678-Rmn14pro-4G-blk</t>
  </si>
  <si>
    <t>678-Rmn14pro-4G-navy</t>
  </si>
  <si>
    <t>678-Rmn14pro-4G-purple</t>
  </si>
  <si>
    <t>678-Rmn14pro-4G-red</t>
  </si>
  <si>
    <t>678-Rmn14s-blk</t>
  </si>
  <si>
    <t>678-Rmn14s-navy</t>
  </si>
  <si>
    <t>678-Rmn14s-purple</t>
  </si>
  <si>
    <t>678-Rmn14s-red</t>
  </si>
  <si>
    <t>678-Rmn15-4G-blk</t>
  </si>
  <si>
    <t>678-Rmn15-4G-navy</t>
  </si>
  <si>
    <t>678-Rmn15-4G-purple</t>
  </si>
  <si>
    <t>678-Rmn15-4G-red</t>
  </si>
  <si>
    <t>678-Rmn15-5G-blk</t>
  </si>
  <si>
    <t>678-Rmn15-5G-navy</t>
  </si>
  <si>
    <t>678-Rmn15-5G-purple</t>
  </si>
  <si>
    <t>678-Rmn15-5G-red</t>
  </si>
  <si>
    <t>678-Rmn15pro-4G-blk</t>
  </si>
  <si>
    <t>678-Rmn15pro-4G-navy</t>
  </si>
  <si>
    <t>678-Rmn15pro-4G-purple</t>
  </si>
  <si>
    <t>678-Rmn15pro-4G-red</t>
  </si>
  <si>
    <t>678-Rmn15pro-5G-blk</t>
  </si>
  <si>
    <t>678-Rmn15pro-5G-navy</t>
  </si>
  <si>
    <t>678-Rmn15pro-5G-purple</t>
  </si>
  <si>
    <t>678-Rmn15pro-5G-red</t>
  </si>
  <si>
    <t>678-Rmn15pro+5G-blk</t>
  </si>
  <si>
    <t>678-Rmn15pro+5G-navy</t>
  </si>
  <si>
    <t>678-Rmn15pro+5G-purple</t>
  </si>
  <si>
    <t>678-Rmn15pro+5G-red</t>
  </si>
  <si>
    <t>681-A9plus-red</t>
  </si>
  <si>
    <t>682-A9-blk</t>
  </si>
  <si>
    <t>tirar</t>
  </si>
  <si>
    <t>682-A11-blk</t>
  </si>
  <si>
    <t>683-i11-navy</t>
  </si>
  <si>
    <t>683-i11promax-blk</t>
  </si>
  <si>
    <t>683-i11promax-purple</t>
  </si>
  <si>
    <t>683-i13promax-blk</t>
  </si>
  <si>
    <t>683-i13promax-purple</t>
  </si>
  <si>
    <t>684-ise-purple</t>
  </si>
  <si>
    <t>683-i14-blk</t>
  </si>
  <si>
    <t>684-i11-pink</t>
  </si>
  <si>
    <t>683-i14-purple</t>
  </si>
  <si>
    <t>684-i11-purple</t>
  </si>
  <si>
    <t>683-i14plus-purple</t>
  </si>
  <si>
    <t>684-i11promax-purple</t>
  </si>
  <si>
    <t>684-i12-purple</t>
  </si>
  <si>
    <t>683-i14pro-blk</t>
  </si>
  <si>
    <t>684-i13-pink</t>
  </si>
  <si>
    <t>683-i14pro-purple</t>
  </si>
  <si>
    <t>684-i13-purple</t>
  </si>
  <si>
    <t>684-i13promax-purple</t>
  </si>
  <si>
    <t>683-i14promax-blk</t>
  </si>
  <si>
    <t>684-i14-pink</t>
  </si>
  <si>
    <t>683-i15-purple</t>
  </si>
  <si>
    <t>684-i14-purple</t>
  </si>
  <si>
    <t>684-i14plus-purple</t>
  </si>
  <si>
    <t>683-i15plus-blk</t>
  </si>
  <si>
    <t>684-i14pro-purple</t>
  </si>
  <si>
    <t>683-i15plus-purple</t>
  </si>
  <si>
    <t>684-i14promax-purple</t>
  </si>
  <si>
    <t>684-i15-pink</t>
  </si>
  <si>
    <t>683-i15pro-purple</t>
  </si>
  <si>
    <t>684-i15-purple</t>
  </si>
  <si>
    <t>683-i15promax-navy</t>
  </si>
  <si>
    <t>684-i15plus-purple</t>
  </si>
  <si>
    <t>684-i15pro-purple</t>
  </si>
  <si>
    <t>683-i15promax-purple</t>
  </si>
  <si>
    <t>684-i15promax-pink</t>
  </si>
  <si>
    <t>683-i16-blk</t>
  </si>
  <si>
    <t>684-i15promax-purple</t>
  </si>
  <si>
    <t>686-A9plus-blk</t>
  </si>
  <si>
    <t>683-i16-navy</t>
  </si>
  <si>
    <t>684-i16-pink</t>
  </si>
  <si>
    <t>683-i16-purple</t>
  </si>
  <si>
    <t>684-i16-purple</t>
  </si>
  <si>
    <t>686-A9plus-navy</t>
  </si>
  <si>
    <t>684-i16e-pink</t>
  </si>
  <si>
    <t>683-i16plus-blk</t>
  </si>
  <si>
    <t>686-A9plus-purple</t>
  </si>
  <si>
    <t>684-i16e-purple</t>
  </si>
  <si>
    <t>683-i16plus-navy</t>
  </si>
  <si>
    <t>684-i16plus-pink</t>
  </si>
  <si>
    <t>686-A9plus-pink</t>
  </si>
  <si>
    <t>684-i16plus-purple</t>
  </si>
  <si>
    <t>683-i16plus-purple</t>
  </si>
  <si>
    <t>684-i16pro-pink</t>
  </si>
  <si>
    <t>683-i16pro-navy</t>
  </si>
  <si>
    <t>684-i16pro-purple</t>
  </si>
  <si>
    <t>N-686-iPad11-purple</t>
  </si>
  <si>
    <t>684-i16promax-pink</t>
  </si>
  <si>
    <t>683-i16pro-purple</t>
  </si>
  <si>
    <t>686-A11-blk</t>
  </si>
  <si>
    <t>684-i16promax-purple</t>
  </si>
  <si>
    <t>VAMOS A HACER LISTADO NUEVO</t>
  </si>
  <si>
    <t>683-i16promax-blk</t>
  </si>
  <si>
    <t>686-A11-navy</t>
  </si>
  <si>
    <t>683-i16promax-navy</t>
  </si>
  <si>
    <t>686-A11-purple</t>
  </si>
  <si>
    <t>683-i16promax-purple</t>
  </si>
  <si>
    <t>686-A11-pink</t>
  </si>
  <si>
    <t>686-A11-grey</t>
  </si>
  <si>
    <t>683-i17-blk</t>
  </si>
  <si>
    <t>683-i17pro-blk</t>
  </si>
  <si>
    <t>686-A11plus-blk</t>
  </si>
  <si>
    <t>683-iAir-blk</t>
  </si>
  <si>
    <t>686-A11plus-navy</t>
  </si>
  <si>
    <t>686-A11plus-purple</t>
  </si>
  <si>
    <t>686-A11plus-pink</t>
  </si>
  <si>
    <t>686-A11plus-grey</t>
  </si>
  <si>
    <t>689-iPad10-blk</t>
  </si>
  <si>
    <t>689-iPad10-blue</t>
  </si>
  <si>
    <t>689-iPad10-pink</t>
  </si>
  <si>
    <t>703-S25plus</t>
  </si>
  <si>
    <t>703-S26</t>
  </si>
  <si>
    <t>703-S26plus</t>
  </si>
  <si>
    <t>716-A11</t>
  </si>
  <si>
    <t>714-G05</t>
  </si>
  <si>
    <t>X80</t>
  </si>
  <si>
    <t>716-A11plus</t>
  </si>
  <si>
    <t>X55</t>
  </si>
  <si>
    <t>714-G17</t>
  </si>
  <si>
    <t>714-G86</t>
  </si>
  <si>
    <t>714-G86power</t>
  </si>
  <si>
    <t>714-E15</t>
  </si>
  <si>
    <t>714-S25</t>
  </si>
  <si>
    <t>714-S25fe</t>
  </si>
  <si>
    <t>714-S26</t>
  </si>
  <si>
    <t>714-S26plus</t>
  </si>
  <si>
    <t>714-Rmn14s</t>
  </si>
  <si>
    <t>714-Rmn15-5G</t>
  </si>
  <si>
    <t>714-RmA5</t>
  </si>
  <si>
    <t xml:space="preserve">    </t>
  </si>
  <si>
    <t>718-iPad11-blk</t>
  </si>
  <si>
    <t>718-iPad11-red</t>
  </si>
  <si>
    <t>718-A11plus-blk</t>
  </si>
  <si>
    <t>718-A11plus-purple</t>
  </si>
  <si>
    <t>718-A11plus-pink</t>
  </si>
  <si>
    <t>718-A11plus-red</t>
  </si>
  <si>
    <t>718-A11-blk</t>
  </si>
  <si>
    <t>718-A11-pink</t>
  </si>
  <si>
    <t>721-Rmn14-5G-pink</t>
  </si>
  <si>
    <t>721-Rmn14-5G-purple</t>
  </si>
  <si>
    <t>721-Rmn14pro-4G-pink</t>
  </si>
  <si>
    <t>721-Rm13x-purple</t>
  </si>
  <si>
    <t>721-Rmn14s-pink</t>
  </si>
  <si>
    <t>722-G06-purple</t>
  </si>
  <si>
    <t>722-G06-blk</t>
  </si>
  <si>
    <t>722-G15-pink</t>
  </si>
  <si>
    <t>722-G15-purple</t>
  </si>
  <si>
    <t>722-G55-pink</t>
  </si>
  <si>
    <t>722-G55-purple</t>
  </si>
  <si>
    <t>722-G56-pink</t>
  </si>
  <si>
    <t>722-G56-purple</t>
  </si>
  <si>
    <t>722-G56-blk</t>
  </si>
  <si>
    <t>722-G86-pink</t>
  </si>
  <si>
    <t>722-G86-purple</t>
  </si>
  <si>
    <t>722-G86-blk</t>
  </si>
  <si>
    <t>722-G85-pink</t>
  </si>
  <si>
    <t>722-G85-purple</t>
  </si>
  <si>
    <t>722-E15-pink</t>
  </si>
  <si>
    <t>722-E15-purple</t>
  </si>
  <si>
    <t>722-E15-blk</t>
  </si>
  <si>
    <t>722-A17-purple</t>
  </si>
  <si>
    <t>722-A37-pink</t>
  </si>
  <si>
    <t>722-A37-purple</t>
  </si>
  <si>
    <t>722-A37-blk</t>
  </si>
  <si>
    <t>722-S24-pink</t>
  </si>
  <si>
    <t>722-S24-purple</t>
  </si>
  <si>
    <t>722-S24fe-pink</t>
  </si>
  <si>
    <t>722-S24fe-purple</t>
  </si>
  <si>
    <t>722-S25-pink</t>
  </si>
  <si>
    <t>722-S25-purple</t>
  </si>
  <si>
    <t>722-S25ultra-pink</t>
  </si>
  <si>
    <t>722-S25ultra-purple</t>
  </si>
  <si>
    <t>722-S25fe-pink</t>
  </si>
  <si>
    <t>722-S25fe-purple</t>
  </si>
  <si>
    <t>722-S25fe-blk</t>
  </si>
  <si>
    <t>723-A11-blk</t>
  </si>
  <si>
    <t>722-S26-pink</t>
  </si>
  <si>
    <t>723-iPad11-blk</t>
  </si>
  <si>
    <t>722-S26-purple</t>
  </si>
  <si>
    <t>723-iPad11-navy</t>
  </si>
  <si>
    <t>722-S26-blk</t>
  </si>
  <si>
    <t>723-iPad11-red</t>
  </si>
  <si>
    <t>722-S26ultra-pink</t>
  </si>
  <si>
    <t>723-iPad11-purple</t>
  </si>
  <si>
    <t>722-S26ultra-purple</t>
  </si>
  <si>
    <t>722-S26ultra-blk</t>
  </si>
  <si>
    <t>722-PocoX7pro-pink</t>
  </si>
  <si>
    <t>722-PocoX7pro-purple</t>
  </si>
  <si>
    <t>722-PocoM7-pink</t>
  </si>
  <si>
    <t>722-PocoM7-purple</t>
  </si>
  <si>
    <t>722-PocoM7pro-pink</t>
  </si>
  <si>
    <t>722-PocoM7pro-purple</t>
  </si>
  <si>
    <t>722-Rmn14s-pink</t>
  </si>
  <si>
    <t>722-Rmn14s-purple</t>
  </si>
  <si>
    <t>722-Rmn14-4G-pink</t>
  </si>
  <si>
    <t>722-Rmn14-4G-purple</t>
  </si>
  <si>
    <t>722-Rmn14-5G-pink</t>
  </si>
  <si>
    <t>722-Rmn14-5G-purple</t>
  </si>
  <si>
    <t>722-Rmn14pro-4G-pink</t>
  </si>
  <si>
    <t>722-Rmn14pro-4G-purple</t>
  </si>
  <si>
    <t>722-Rm15C/C85-pink</t>
  </si>
  <si>
    <t>722-Rm15C/C85-purple</t>
  </si>
  <si>
    <t>728-A07-blk</t>
  </si>
  <si>
    <t>728-A07-navy</t>
  </si>
  <si>
    <t>728-A07-red</t>
  </si>
  <si>
    <t>728-A17-blk</t>
  </si>
  <si>
    <t>728-A17-navy</t>
  </si>
  <si>
    <t>728-A17-pink</t>
  </si>
  <si>
    <t>728-A56-blk</t>
  </si>
  <si>
    <t>728-A56-pink</t>
  </si>
  <si>
    <t>728-A57-blk</t>
  </si>
  <si>
    <t>728-A57-navy</t>
  </si>
  <si>
    <t>728-A57-pink</t>
  </si>
  <si>
    <t>728-A57-red</t>
  </si>
  <si>
    <t>728-S24-pink</t>
  </si>
  <si>
    <t>728-S25-pink</t>
  </si>
  <si>
    <t>728-S25fe-blk</t>
  </si>
  <si>
    <t>728-S25ultra-blk</t>
  </si>
  <si>
    <t>728-S25ultra-pink</t>
  </si>
  <si>
    <t>728-S26-blk</t>
  </si>
  <si>
    <t>728-S26-navy</t>
  </si>
  <si>
    <t>728-S26-pink</t>
  </si>
  <si>
    <t>728-S26-red</t>
  </si>
  <si>
    <t>728-S26ultra-blk</t>
  </si>
  <si>
    <t>728-S26ultra-navy</t>
  </si>
  <si>
    <t>728-S26ultra-pink</t>
  </si>
  <si>
    <t>728-S26ultra-red</t>
  </si>
  <si>
    <t>728-E15-blk</t>
  </si>
  <si>
    <t>729-S24</t>
  </si>
  <si>
    <t>728-E15-navy</t>
  </si>
  <si>
    <t>728-E15-pink</t>
  </si>
  <si>
    <t>728-G06-blk</t>
  </si>
  <si>
    <t>728-G06-navy</t>
  </si>
  <si>
    <t>729-S26</t>
  </si>
  <si>
    <t>728-G06-red</t>
  </si>
  <si>
    <t>728-G15-blk</t>
  </si>
  <si>
    <t>728-G17-blk</t>
  </si>
  <si>
    <t>728-G17-navy</t>
  </si>
  <si>
    <t>729-E15</t>
  </si>
  <si>
    <t>728-G17-pink</t>
  </si>
  <si>
    <t>728-G17-red</t>
  </si>
  <si>
    <t>728-G56-navy</t>
  </si>
  <si>
    <t>728-G56-pink</t>
  </si>
  <si>
    <t>728-G67-blk</t>
  </si>
  <si>
    <t>728-G67-navy</t>
  </si>
  <si>
    <t>728-G67-pink</t>
  </si>
  <si>
    <t>728-G67-red</t>
  </si>
  <si>
    <t>728-G85-blk</t>
  </si>
  <si>
    <t>728-G85-pink</t>
  </si>
  <si>
    <t>728-PocoM7pro-pink</t>
  </si>
  <si>
    <t>728-PocoM8pro-blk</t>
  </si>
  <si>
    <t>728-PocoM8pro-navy</t>
  </si>
  <si>
    <t>728-PocoM8pro-pink</t>
  </si>
  <si>
    <t>728-PocoX8pro-navy</t>
  </si>
  <si>
    <t>728-PocoX8pro-pink</t>
  </si>
  <si>
    <t>728-Rmn15-5G-blk</t>
  </si>
  <si>
    <t>728-Rmn15-5G-navy</t>
  </si>
  <si>
    <t>728-Rmn15-5G-pink</t>
  </si>
  <si>
    <t>728-Rmn15pro-5G-blk</t>
  </si>
  <si>
    <t>728-Rmn15pro-5G-navy</t>
  </si>
  <si>
    <t>728-Rmn15pro+5G-blk</t>
  </si>
  <si>
    <t>728-Rmn15pro+5G-navy</t>
  </si>
  <si>
    <t>728-Rmn15pro+5G-pink</t>
  </si>
  <si>
    <t>730-PocoC71-blue</t>
  </si>
  <si>
    <t>730-PocoC71-pink</t>
  </si>
  <si>
    <t>730-PocoC71-fuchsia</t>
  </si>
  <si>
    <t>730-PocoC71-purple</t>
  </si>
  <si>
    <t>730-PocoM7-blue</t>
  </si>
  <si>
    <t>730-PocoM7-pink</t>
  </si>
  <si>
    <t>730-PocoM7-fuchsia</t>
  </si>
  <si>
    <t>730-PocoM7-purple</t>
  </si>
  <si>
    <t>730-PocoX7pro-blue</t>
  </si>
  <si>
    <t>730-PocoX7pro-pink</t>
  </si>
  <si>
    <t>730-PocoX7pro-fuchsia</t>
  </si>
  <si>
    <t>730-PocoX7pro-purple</t>
  </si>
  <si>
    <t>730-Rm13x-blue</t>
  </si>
  <si>
    <t>730-Rm13x-pink</t>
  </si>
  <si>
    <t>730-Rm13x-fuchsia</t>
  </si>
  <si>
    <t>730-Rm13x-purple</t>
  </si>
  <si>
    <t>730-Rmn14-4G-blue</t>
  </si>
  <si>
    <t>730-Rmn14-4G-pink</t>
  </si>
  <si>
    <t>730-Rmn14-4G-fuchsia</t>
  </si>
  <si>
    <t>730-Rmn14-4G-purple</t>
  </si>
  <si>
    <t>730-Rmn14-5G-blue</t>
  </si>
  <si>
    <t>730-Rmn14-5G-pink</t>
  </si>
  <si>
    <t>730-Rmn14-5G-fuchsia</t>
  </si>
  <si>
    <t>730-Rmn14-5G-purple</t>
  </si>
  <si>
    <t>730-Rmn14pro-4G-blue</t>
  </si>
  <si>
    <t>730-Rmn14pro-4G-pink</t>
  </si>
  <si>
    <t>730-Rmn14pro-4G-fuchsia</t>
  </si>
  <si>
    <t>730-Rmn14pro-4G-purple</t>
  </si>
  <si>
    <t>730-Rmn14s-blue</t>
  </si>
  <si>
    <t>730-Rmn14s-pink</t>
  </si>
  <si>
    <t>730-Rmn14s-fuchsia</t>
  </si>
  <si>
    <t>730-Rmn14s-purple</t>
  </si>
  <si>
    <t>730-Rm15c/C85-blue</t>
  </si>
  <si>
    <t>730-Rm15c/C85-pink</t>
  </si>
  <si>
    <t>730-Rm15c/C85-fuchsia</t>
  </si>
  <si>
    <t>730-Rm15c/C85-purple</t>
  </si>
  <si>
    <t>730-A07-fuchsia</t>
  </si>
  <si>
    <t>730-A17-pink</t>
  </si>
  <si>
    <t>730-A17-fuchsia</t>
  </si>
  <si>
    <t>730-A56-blue</t>
  </si>
  <si>
    <t>730-A56-fuchsia</t>
  </si>
  <si>
    <t>730-A56-purple</t>
  </si>
  <si>
    <t>735-A07-baby pink</t>
  </si>
  <si>
    <t>730-S24-blue</t>
  </si>
  <si>
    <t>730-S24-pink</t>
  </si>
  <si>
    <t>735-A07-pink</t>
  </si>
  <si>
    <t>730-S24-fuchsia</t>
  </si>
  <si>
    <t>730-S24-purple</t>
  </si>
  <si>
    <t>730-S24fe-blue</t>
  </si>
  <si>
    <t>730-S24fe-pink</t>
  </si>
  <si>
    <t>730-S24fe-fuchsia</t>
  </si>
  <si>
    <t>735-A37-baby pink</t>
  </si>
  <si>
    <t>730-S24fe-purple</t>
  </si>
  <si>
    <t>735-A37-pink</t>
  </si>
  <si>
    <t>730-S25--blue</t>
  </si>
  <si>
    <t>735-A37-purple</t>
  </si>
  <si>
    <t>730-S25-pink</t>
  </si>
  <si>
    <t>730-S25-fuchsia</t>
  </si>
  <si>
    <t>735-G06-baby pink</t>
  </si>
  <si>
    <t>739-i11</t>
  </si>
  <si>
    <t>735-G06-pink</t>
  </si>
  <si>
    <t>730-S25-purple</t>
  </si>
  <si>
    <t>735-G06-purple</t>
  </si>
  <si>
    <t>739-i11promax</t>
  </si>
  <si>
    <t>735-G56-baby pink</t>
  </si>
  <si>
    <t>730-S25fe-blue</t>
  </si>
  <si>
    <t>739-i12</t>
  </si>
  <si>
    <t>735-G56-pink</t>
  </si>
  <si>
    <t>739-i13</t>
  </si>
  <si>
    <t>735-G56-purple</t>
  </si>
  <si>
    <t>730-S25fe-pink</t>
  </si>
  <si>
    <t>739-i14</t>
  </si>
  <si>
    <t>735-G86-baby pink</t>
  </si>
  <si>
    <t>739-i15promax</t>
  </si>
  <si>
    <t>735-G86-pink</t>
  </si>
  <si>
    <t>730-S25fe-fuchsia</t>
  </si>
  <si>
    <t>739-i16</t>
  </si>
  <si>
    <t>735-G86-purple</t>
  </si>
  <si>
    <t>739-i17</t>
  </si>
  <si>
    <t>730-S25fe-purple</t>
  </si>
  <si>
    <t>735-PocoC85-baby pink</t>
  </si>
  <si>
    <t>739-i17pro</t>
  </si>
  <si>
    <t>735-PocoC85-pink</t>
  </si>
  <si>
    <t>730-S25ultra-blue</t>
  </si>
  <si>
    <t>739-i17promax</t>
  </si>
  <si>
    <t>735-PocoC85-purple</t>
  </si>
  <si>
    <t>739-iAir</t>
  </si>
  <si>
    <t>730-S25ultra-pink</t>
  </si>
  <si>
    <t>735-S25fe-baby pink</t>
  </si>
  <si>
    <t>735-S25fe-pink</t>
  </si>
  <si>
    <t>730-S25ultra-fuchsia</t>
  </si>
  <si>
    <t>735-S25fe-purple</t>
  </si>
  <si>
    <t>735-S26ultra-baby pink</t>
  </si>
  <si>
    <t>730-S25ultra-purple</t>
  </si>
  <si>
    <t>735-S26ultra-pink</t>
  </si>
  <si>
    <t>735-S26ultra-purple</t>
  </si>
  <si>
    <t>730-G06-blue</t>
  </si>
  <si>
    <t>730-G06-pink</t>
  </si>
  <si>
    <t>730-G06-fuchsia</t>
  </si>
  <si>
    <t>730-G06-purple</t>
  </si>
  <si>
    <t>730-G15-blue</t>
  </si>
  <si>
    <t>730-G15-pink</t>
  </si>
  <si>
    <t>730-G15-fuchsia</t>
  </si>
  <si>
    <t>730-G15-purple</t>
  </si>
  <si>
    <t>730-G55-blue</t>
  </si>
  <si>
    <t>730-G55-pink</t>
  </si>
  <si>
    <t>730-G55-fuchsia</t>
  </si>
  <si>
    <t>730-G55-purple</t>
  </si>
  <si>
    <t>730-G56-blue</t>
  </si>
  <si>
    <t>730-G56-pink</t>
  </si>
  <si>
    <t>730-G56-fuchsia</t>
  </si>
  <si>
    <t>730-G56-purple</t>
  </si>
  <si>
    <t>730-G85-blue</t>
  </si>
  <si>
    <t>730-G85-pink</t>
  </si>
  <si>
    <t>730-G85-fuchsia</t>
  </si>
  <si>
    <t>730-G85-purple</t>
  </si>
  <si>
    <t>730-E15-blue</t>
  </si>
  <si>
    <t>730-E15-pink</t>
  </si>
  <si>
    <t>730-E15-fuchsia</t>
  </si>
  <si>
    <t>730-E15-purple</t>
  </si>
  <si>
    <t>745-iPad11-blk</t>
  </si>
  <si>
    <t>x20</t>
  </si>
  <si>
    <t>P605</t>
  </si>
  <si>
    <t>748-S25ultra</t>
  </si>
  <si>
    <t>748-S26</t>
  </si>
  <si>
    <t>748-S26ultra</t>
  </si>
  <si>
    <t>749-iPad11</t>
  </si>
  <si>
    <t>749-A11</t>
  </si>
  <si>
    <t>749-A11plus</t>
  </si>
  <si>
    <t>754-A07-blk</t>
  </si>
  <si>
    <t>754-A07-blue</t>
  </si>
  <si>
    <t>754-A07-gold</t>
  </si>
  <si>
    <t>754-A17-blk</t>
  </si>
  <si>
    <t>14009-iPad10-purple</t>
  </si>
  <si>
    <t>754-A17-blue</t>
  </si>
  <si>
    <t>754-A17-gold</t>
  </si>
  <si>
    <t>14009-iPad10-mint</t>
  </si>
  <si>
    <t>754-A37-blk</t>
  </si>
  <si>
    <t>14009-iPad10-Blue</t>
  </si>
  <si>
    <t>754-A37-blue</t>
  </si>
  <si>
    <t>14009-iPad10-Green</t>
  </si>
  <si>
    <t>754-A37-gold</t>
  </si>
  <si>
    <t>754-A57-blk</t>
  </si>
  <si>
    <t>754-A57-blue</t>
  </si>
  <si>
    <t>754-A57-gold</t>
  </si>
  <si>
    <t>754-S24ultra-blk</t>
  </si>
  <si>
    <t>754-S25-blk</t>
  </si>
  <si>
    <t>754-S25ultra-blk</t>
  </si>
  <si>
    <t>754-S26-blk</t>
  </si>
  <si>
    <t>754-S26ultra-blk</t>
  </si>
  <si>
    <t>750-iPad11</t>
  </si>
  <si>
    <t>750-A11</t>
  </si>
  <si>
    <t>750-A11plus</t>
  </si>
  <si>
    <t>437-ipad10-blue</t>
  </si>
  <si>
    <t>437-ipad10-red</t>
  </si>
  <si>
    <t>450-A17</t>
  </si>
  <si>
    <t>450-A56</t>
  </si>
  <si>
    <t>450-G24</t>
  </si>
  <si>
    <t>474-i17promax-blue</t>
  </si>
  <si>
    <t>498-i13</t>
  </si>
  <si>
    <t>498-i17</t>
  </si>
  <si>
    <t>540-iPad10-blue</t>
  </si>
  <si>
    <t>599-RmPad-2-blk</t>
  </si>
  <si>
    <t>602-iPad10-blk</t>
  </si>
  <si>
    <t>602-iPad10-blue</t>
  </si>
  <si>
    <t>603-A11plus-red</t>
  </si>
  <si>
    <t>613-A11plus-red</t>
  </si>
  <si>
    <t>620-A9</t>
  </si>
  <si>
    <t>658-A11-blk</t>
  </si>
  <si>
    <t>686-iPad10-blk</t>
  </si>
  <si>
    <t>C-604-i16promax-purple</t>
  </si>
  <si>
    <t>N-675-S25ultra-blk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</si>
</sst>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d mmm"/>
  </numFmts>
  <fonts count="2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11.0"/>
      <color rgb="FF000000"/>
      <name val="Inconsolata"/>
    </font>
    <font>
      <sz val="9.0"/>
      <color rgb="FF000000"/>
      <name val="&quot;Google Sans Mono&quot;"/>
    </font>
    <font>
      <color theme="1"/>
      <name val="&quot;Open Sans&quot;"/>
    </font>
    <font>
      <b/>
      <color theme="1"/>
      <name val="Arial"/>
    </font>
    <font>
      <sz val="11.0"/>
      <color theme="1"/>
      <name val="PMingLiu"/>
    </font>
    <font>
      <sz val="14.0"/>
      <color theme="1"/>
      <name val="SimSun"/>
    </font>
    <font>
      <sz val="11.0"/>
      <color rgb="FF000000"/>
      <name val="Calibri"/>
    </font>
    <font>
      <sz val="11.0"/>
      <color theme="1"/>
      <name val="&quot;Arial Unicode MS&quot;"/>
    </font>
    <font>
      <b/>
      <color theme="1"/>
      <name val="&quot;Microsoft YaHei&quot;"/>
    </font>
    <font>
      <color theme="1"/>
      <name val="Arial"/>
    </font>
    <font>
      <b/>
      <sz val="14.0"/>
      <color theme="1"/>
      <name val="SimSun"/>
    </font>
    <font>
      <b/>
      <sz val="11.0"/>
      <color theme="1"/>
      <name val="Calibri"/>
    </font>
    <font>
      <b/>
      <sz val="11.0"/>
      <color rgb="FF000000"/>
      <name val="Calibri"/>
    </font>
    <font>
      <sz val="14.0"/>
      <color rgb="FFFF0000"/>
      <name val="SimSun"/>
    </font>
    <font>
      <sz val="11.0"/>
      <color rgb="FFFF0000"/>
      <name val="&quot;Arial Unicode MS&quot;"/>
    </font>
    <font>
      <sz val="11.0"/>
      <color theme="1"/>
      <name val="Calibri"/>
    </font>
    <font>
      <sz val="10.0"/>
      <color rgb="FF000000"/>
      <name val="Arial"/>
    </font>
    <font>
      <sz val="11.0"/>
      <color rgb="FF000000"/>
      <name val="Arial"/>
    </font>
    <font>
      <sz val="11.0"/>
      <color rgb="FF000000"/>
      <name val="&quot;Arial Unicode MS&quot;"/>
    </font>
    <font>
      <sz val="8.0"/>
      <color theme="1"/>
      <name val="&quot;Arial Unicode MS&quot;"/>
    </font>
    <font>
      <sz val="10.0"/>
      <color rgb="FF000000"/>
      <name val="&quot;Arial Unicode MS&quot;"/>
    </font>
    <font>
      <sz val="8.0"/>
      <color rgb="FFDD0806"/>
      <name val="&quot;Arial Unicode MS&quot;"/>
    </font>
    <font>
      <color rgb="FFFF0000"/>
      <name val="Arial"/>
      <scheme val="minor"/>
    </font>
    <font>
      <sz val="11.0"/>
      <color rgb="FF000000"/>
      <name val="&quot;Proxima Nova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right"/>
    </xf>
    <xf borderId="0" fillId="0" fontId="1" numFmtId="165" xfId="0" applyAlignment="1" applyFont="1" applyNumberFormat="1">
      <alignment readingOrder="0"/>
    </xf>
    <xf borderId="0" fillId="0" fontId="1" numFmtId="3" xfId="0" applyFont="1" applyNumberFormat="1"/>
    <xf borderId="0" fillId="0" fontId="3" numFmtId="0" xfId="0" applyAlignment="1" applyFont="1">
      <alignment readingOrder="0"/>
    </xf>
    <xf borderId="0" fillId="0" fontId="1" numFmtId="165" xfId="0" applyFont="1" applyNumberFormat="1"/>
    <xf borderId="0" fillId="0" fontId="1" numFmtId="0" xfId="0" applyAlignment="1" applyFont="1">
      <alignment horizontal="left"/>
    </xf>
    <xf borderId="0" fillId="2" fontId="4" numFmtId="3" xfId="0" applyFill="1" applyFont="1" applyNumberFormat="1"/>
    <xf borderId="0" fillId="3" fontId="1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0" fillId="3" fontId="1" numFmtId="165" xfId="0" applyAlignment="1" applyFill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/>
    </xf>
    <xf borderId="0" fillId="0" fontId="1" numFmtId="49" xfId="0" applyAlignment="1" applyFont="1" applyNumberFormat="1">
      <alignment readingOrder="0"/>
    </xf>
    <xf borderId="0" fillId="0" fontId="3" numFmtId="0" xfId="0" applyFont="1"/>
    <xf borderId="0" fillId="3" fontId="1" numFmtId="3" xfId="0" applyFill="1" applyFont="1" applyNumberFormat="1"/>
    <xf borderId="0" fillId="3" fontId="1" numFmtId="165" xfId="0" applyFill="1" applyFont="1" applyNumberFormat="1"/>
    <xf borderId="0" fillId="2" fontId="5" numFmtId="3" xfId="0" applyFill="1" applyFont="1" applyNumberFormat="1"/>
    <xf borderId="0" fillId="0" fontId="1" numFmtId="164" xfId="0" applyAlignment="1" applyFont="1" applyNumberFormat="1">
      <alignment readingOrder="0"/>
    </xf>
    <xf borderId="0" fillId="3" fontId="1" numFmtId="0" xfId="0" applyFill="1" applyFont="1"/>
    <xf borderId="0" fillId="3" fontId="1" numFmtId="4" xfId="0" applyFill="1" applyFont="1" applyNumberFormat="1"/>
    <xf borderId="0" fillId="0" fontId="1" numFmtId="164" xfId="0" applyFont="1" applyNumberFormat="1"/>
    <xf borderId="0" fillId="0" fontId="1" numFmtId="166" xfId="0" applyAlignment="1" applyFont="1" applyNumberFormat="1">
      <alignment readingOrder="0"/>
    </xf>
    <xf borderId="0" fillId="2" fontId="4" numFmtId="3" xfId="0" applyAlignment="1" applyFill="1" applyFont="1" applyNumberFormat="1">
      <alignment readingOrder="0"/>
    </xf>
    <xf borderId="0" fillId="3" fontId="5" numFmtId="3" xfId="0" applyFill="1" applyFont="1" applyNumberFormat="1"/>
    <xf borderId="0" fillId="3" fontId="5" numFmtId="165" xfId="0" applyFill="1" applyFont="1" applyNumberFormat="1"/>
    <xf borderId="0" fillId="2" fontId="1" numFmtId="0" xfId="0" applyFill="1" applyFont="1"/>
    <xf borderId="0" fillId="2" fontId="1" numFmtId="165" xfId="0" applyFill="1" applyFont="1" applyNumberFormat="1"/>
    <xf borderId="0" fillId="2" fontId="5" numFmtId="3" xfId="0" applyAlignment="1" applyFill="1" applyFont="1" applyNumberFormat="1">
      <alignment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7" numFmtId="0" xfId="0" applyAlignment="1" applyFont="1">
      <alignment horizontal="right" vertical="bottom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horizontal="center" readingOrder="0"/>
    </xf>
    <xf borderId="0" fillId="0" fontId="8" numFmtId="0" xfId="0" applyFont="1"/>
    <xf borderId="0" fillId="0" fontId="8" numFmtId="0" xfId="0" applyFont="1"/>
    <xf borderId="0" fillId="0" fontId="8" numFmtId="0" xfId="0" applyAlignment="1" applyFont="1">
      <alignment readingOrder="0"/>
    </xf>
    <xf borderId="0" fillId="2" fontId="10" numFmtId="0" xfId="0" applyAlignment="1" applyFill="1" applyFont="1">
      <alignment readingOrder="0" shrinkToFit="0" vertical="bottom" wrapText="0"/>
    </xf>
    <xf borderId="0" fillId="2" fontId="10" numFmtId="0" xfId="0" applyAlignment="1" applyFill="1" applyFont="1">
      <alignment horizontal="left"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0" fillId="2" fontId="11" numFmtId="0" xfId="0" applyAlignment="1" applyFill="1" applyFont="1">
      <alignment horizontal="right" readingOrder="0" shrinkToFit="0" vertical="bottom" wrapText="0"/>
    </xf>
    <xf borderId="0" fillId="0" fontId="9" numFmtId="0" xfId="0" applyAlignment="1" applyFont="1">
      <alignment horizontal="left"/>
    </xf>
    <xf borderId="0" fillId="0" fontId="9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0" fillId="0" fontId="9" numFmtId="0" xfId="0" applyAlignment="1" applyFont="1">
      <alignment horizontal="center"/>
    </xf>
    <xf borderId="0" fillId="0" fontId="12" numFmtId="0" xfId="0" applyAlignment="1" applyFont="1">
      <alignment horizontal="center" readingOrder="0" shrinkToFit="0" wrapText="1"/>
    </xf>
    <xf borderId="0" fillId="0" fontId="13" numFmtId="0" xfId="0" applyAlignment="1" applyFont="1">
      <alignment readingOrder="0" vertical="bottom"/>
    </xf>
    <xf borderId="0" fillId="0" fontId="12" numFmtId="0" xfId="0" applyAlignment="1" applyFont="1">
      <alignment horizontal="center" shrinkToFit="0" wrapText="1"/>
    </xf>
    <xf borderId="0" fillId="0" fontId="1" numFmtId="0" xfId="0" applyAlignment="1" applyFont="1">
      <alignment horizontal="right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1" numFmtId="0" xfId="0" applyAlignment="1" applyFont="1">
      <alignment horizontal="right" shrinkToFit="0" wrapText="1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left"/>
    </xf>
    <xf borderId="0" fillId="0" fontId="14" numFmtId="0" xfId="0" applyAlignment="1" applyFont="1">
      <alignment horizontal="left"/>
    </xf>
    <xf borderId="0" fillId="2" fontId="15" numFmtId="0" xfId="0" applyAlignment="1" applyFill="1" applyFont="1">
      <alignment readingOrder="0" vertical="bottom"/>
    </xf>
    <xf borderId="0" fillId="0" fontId="16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horizontal="left" readingOrder="0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horizontal="left" shrinkToFit="0" vertical="bottom" wrapText="0"/>
    </xf>
    <xf borderId="0" fillId="0" fontId="18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ill="1" applyFont="1"/>
    <xf borderId="0" fillId="0" fontId="13" numFmtId="0" xfId="0" applyAlignment="1" applyFont="1">
      <alignment vertical="bottom"/>
    </xf>
    <xf borderId="0" fillId="0" fontId="20" numFmtId="0" xfId="0" applyAlignment="1" applyFont="1">
      <alignment horizontal="right" readingOrder="0" shrinkToFit="0" vertical="bottom" wrapText="0"/>
    </xf>
    <xf borderId="0" fillId="0" fontId="20" numFmtId="0" xfId="0" applyAlignment="1" applyFont="1">
      <alignment horizontal="left" readingOrder="0" shrinkToFit="0" vertical="bottom" wrapText="0"/>
    </xf>
    <xf borderId="0" fillId="0" fontId="2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readingOrder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readingOrder="0" vertical="bottom"/>
    </xf>
    <xf borderId="0" fillId="0" fontId="22" numFmtId="0" xfId="0" applyAlignment="1" applyFont="1">
      <alignment horizontal="center" readingOrder="0" shrinkToFit="0" wrapText="0"/>
    </xf>
    <xf borderId="0" fillId="0" fontId="20" numFmtId="0" xfId="0" applyAlignment="1" applyFont="1">
      <alignment readingOrder="0" shrinkToFit="0" vertical="bottom" wrapText="0"/>
    </xf>
    <xf borderId="0" fillId="0" fontId="22" numFmtId="0" xfId="0" applyAlignment="1" applyFont="1">
      <alignment horizontal="right" readingOrder="0" shrinkToFit="0" vertical="bottom" wrapText="0"/>
    </xf>
    <xf borderId="0" fillId="0" fontId="23" numFmtId="0" xfId="0" applyAlignment="1" applyFont="1">
      <alignment horizontal="right" readingOrder="0" vertical="bottom"/>
    </xf>
    <xf borderId="0" fillId="0" fontId="24" numFmtId="0" xfId="0" applyAlignment="1" applyFont="1">
      <alignment readingOrder="0" shrinkToFit="0" vertical="bottom" wrapText="0"/>
    </xf>
    <xf borderId="0" fillId="0" fontId="23" numFmtId="0" xfId="0" applyAlignment="1" applyFont="1">
      <alignment vertical="bottom"/>
    </xf>
    <xf borderId="0" fillId="0" fontId="25" numFmtId="0" xfId="0" applyAlignment="1" applyFont="1">
      <alignment horizontal="center" vertical="bottom"/>
    </xf>
    <xf borderId="0" fillId="0" fontId="26" numFmtId="0" xfId="0" applyAlignment="1" applyFont="1">
      <alignment readingOrder="0"/>
    </xf>
    <xf borderId="0" fillId="2" fontId="27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4" Type="http://schemas.openxmlformats.org/officeDocument/2006/relationships/worksheet" Target="worksheets/sheet100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5"/>
    <col customWidth="1" min="9" max="9" width="15.38"/>
    <col customWidth="1" min="10" max="10" width="18.38"/>
    <col customWidth="1" min="11" max="11" width="18.75"/>
  </cols>
  <sheetData>
    <row r="1">
      <c r="A1" s="2" t="s">
        <v>2</v>
      </c>
      <c r="B1" s="3" t="s">
        <v>4</v>
      </c>
      <c r="C1" s="4" t="s">
        <v>7</v>
      </c>
      <c r="D1" s="6" t="s">
        <v>8</v>
      </c>
      <c r="E1" s="1" t="s">
        <v>9</v>
      </c>
      <c r="F1" s="1" t="s">
        <v>15</v>
      </c>
      <c r="G1" s="1" t="s">
        <v>17</v>
      </c>
      <c r="H1" s="12" t="s">
        <v>9</v>
      </c>
      <c r="I1" s="12" t="s">
        <v>25</v>
      </c>
      <c r="J1" s="14" t="s">
        <v>7</v>
      </c>
      <c r="K1" s="12" t="s">
        <v>30</v>
      </c>
    </row>
    <row r="2" hidden="1">
      <c r="A2" s="2">
        <v>499.0</v>
      </c>
      <c r="B2" s="7" t="str">
        <f>SUM(#REF!)</f>
        <v>#REF!</v>
      </c>
      <c r="C2" s="4">
        <v>28.8</v>
      </c>
      <c r="D2" s="9" t="str">
        <f t="shared" ref="D2:D93" si="1">B2*C2</f>
        <v>#REF!</v>
      </c>
      <c r="E2" s="1" t="s">
        <v>13</v>
      </c>
      <c r="F2" s="1" t="s">
        <v>51</v>
      </c>
      <c r="G2" s="1" t="s">
        <v>52</v>
      </c>
      <c r="H2" s="12" t="s">
        <v>53</v>
      </c>
      <c r="I2" s="19">
        <f>SUMIF(E:E,"*MICA*",B:B)</f>
        <v>45808</v>
      </c>
      <c r="J2" s="20">
        <f>SUMIF(E:E,"*MICA*",D:D)</f>
        <v>726259.4</v>
      </c>
      <c r="K2" s="20">
        <f t="shared" ref="K2:K4" si="2">J2/I2</f>
        <v>15.85442281</v>
      </c>
    </row>
    <row r="3" hidden="1">
      <c r="A3" s="2">
        <v>678.0</v>
      </c>
      <c r="B3" s="21">
        <f>SUM('678'!B:B)</f>
        <v>9054</v>
      </c>
      <c r="C3" s="22">
        <v>19.7</v>
      </c>
      <c r="D3" s="9">
        <f t="shared" si="1"/>
        <v>178363.8</v>
      </c>
      <c r="E3" s="1" t="s">
        <v>13</v>
      </c>
      <c r="F3" s="1" t="s">
        <v>51</v>
      </c>
      <c r="G3" s="1" t="s">
        <v>52</v>
      </c>
      <c r="H3" s="12" t="s">
        <v>41</v>
      </c>
      <c r="I3" s="19">
        <f>SUMIF(E:E,"*TABLETA*",B:B)</f>
        <v>30716</v>
      </c>
      <c r="J3" s="20">
        <f>SUMIF(E:E,"*TABLETA*",D:D)</f>
        <v>2654439.3</v>
      </c>
      <c r="K3" s="20">
        <f t="shared" si="2"/>
        <v>86.41878174</v>
      </c>
    </row>
    <row r="4" hidden="1">
      <c r="A4" s="2">
        <v>380.0</v>
      </c>
      <c r="B4" s="11">
        <f>SUM('380'!B:B)</f>
        <v>660</v>
      </c>
      <c r="C4" s="4">
        <v>102.5</v>
      </c>
      <c r="D4" s="9">
        <f t="shared" si="1"/>
        <v>67650</v>
      </c>
      <c r="E4" s="1" t="s">
        <v>41</v>
      </c>
      <c r="F4" s="1" t="s">
        <v>51</v>
      </c>
      <c r="G4" s="1" t="s">
        <v>56</v>
      </c>
      <c r="H4" s="12" t="s">
        <v>57</v>
      </c>
      <c r="I4" s="19" t="str">
        <f>SUMIF(E:E,"*FUNDA*",B:B)</f>
        <v>#REF!</v>
      </c>
      <c r="J4" s="20" t="str">
        <f>SUMIF(E:E,"*FUNDA*",D:D)</f>
        <v>#REF!</v>
      </c>
      <c r="K4" s="23" t="str">
        <f t="shared" si="2"/>
        <v>#REF!</v>
      </c>
    </row>
    <row r="5" hidden="1">
      <c r="A5" s="2">
        <v>662.0</v>
      </c>
      <c r="B5" s="21">
        <f>SUM('662'!B:B)</f>
        <v>5046</v>
      </c>
      <c r="C5" s="22">
        <v>12.0</v>
      </c>
      <c r="D5" s="9">
        <f t="shared" si="1"/>
        <v>60552</v>
      </c>
      <c r="E5" s="1" t="s">
        <v>13</v>
      </c>
      <c r="F5" s="1" t="s">
        <v>51</v>
      </c>
      <c r="G5" s="1" t="s">
        <v>52</v>
      </c>
      <c r="H5" s="12" t="s">
        <v>58</v>
      </c>
      <c r="I5" s="24" t="str">
        <f>SUMIF(G:G,"*SI*",B:B)</f>
        <v>#REF!</v>
      </c>
      <c r="J5" s="20"/>
      <c r="K5" s="23"/>
    </row>
    <row r="6" hidden="1">
      <c r="A6" s="2">
        <v>514.0</v>
      </c>
      <c r="B6" s="7">
        <f>SUM('514'!B:B)</f>
        <v>4239</v>
      </c>
      <c r="C6" s="4">
        <v>16.1</v>
      </c>
      <c r="D6" s="9">
        <f t="shared" si="1"/>
        <v>68247.9</v>
      </c>
      <c r="E6" s="1" t="s">
        <v>13</v>
      </c>
      <c r="F6" s="1" t="s">
        <v>51</v>
      </c>
      <c r="G6" s="1" t="s">
        <v>52</v>
      </c>
      <c r="H6" s="12" t="s">
        <v>15</v>
      </c>
      <c r="I6" s="12" t="s">
        <v>25</v>
      </c>
      <c r="J6" s="14" t="s">
        <v>7</v>
      </c>
      <c r="K6" s="23"/>
    </row>
    <row r="7" hidden="1">
      <c r="A7" s="2">
        <v>412.0</v>
      </c>
      <c r="B7" s="7">
        <f>SUM('412'!B:B)</f>
        <v>1875</v>
      </c>
      <c r="C7" s="4">
        <v>50.9</v>
      </c>
      <c r="D7" s="9">
        <f t="shared" si="1"/>
        <v>95437.5</v>
      </c>
      <c r="E7" s="1" t="s">
        <v>41</v>
      </c>
      <c r="F7" s="1" t="s">
        <v>51</v>
      </c>
      <c r="G7" s="1" t="s">
        <v>56</v>
      </c>
      <c r="H7" s="12" t="s">
        <v>51</v>
      </c>
      <c r="I7" s="19" t="str">
        <f>SUMIF(F:F,"*A*",B:B)</f>
        <v>#REF!</v>
      </c>
      <c r="J7" s="14" t="str">
        <f>SUMIF(F:F,"*A*",D:D)</f>
        <v>#REF!</v>
      </c>
      <c r="K7" s="23"/>
    </row>
    <row r="8" hidden="1">
      <c r="A8" s="2">
        <v>437.0</v>
      </c>
      <c r="B8" s="7">
        <f>SUM('437'!B:B)</f>
        <v>8081</v>
      </c>
      <c r="C8" s="4">
        <v>80.0</v>
      </c>
      <c r="D8" s="9">
        <f t="shared" si="1"/>
        <v>646480</v>
      </c>
      <c r="E8" s="1" t="s">
        <v>41</v>
      </c>
      <c r="F8" s="1" t="s">
        <v>51</v>
      </c>
      <c r="G8" s="1" t="s">
        <v>56</v>
      </c>
      <c r="H8" s="12" t="s">
        <v>60</v>
      </c>
      <c r="I8" s="19">
        <f>SUMIF(F:F,"*B*",B:B)</f>
        <v>5441</v>
      </c>
      <c r="J8" s="14">
        <f>SUMIF(F:F,"*B*",D:D)</f>
        <v>136494.9</v>
      </c>
      <c r="K8" s="23"/>
    </row>
    <row r="9">
      <c r="A9" s="2">
        <v>367.0</v>
      </c>
      <c r="B9" s="11">
        <f>SUM('367'!B:B)</f>
        <v>3600</v>
      </c>
      <c r="C9" s="4">
        <v>17.5</v>
      </c>
      <c r="D9" s="9">
        <f t="shared" si="1"/>
        <v>63000</v>
      </c>
      <c r="E9" s="1" t="s">
        <v>13</v>
      </c>
      <c r="F9" s="1" t="s">
        <v>60</v>
      </c>
      <c r="G9" s="1" t="s">
        <v>56</v>
      </c>
      <c r="H9" s="12" t="s">
        <v>61</v>
      </c>
      <c r="I9" s="19">
        <f>SUMIF(F:F,"*C*",B:B)</f>
        <v>38500</v>
      </c>
      <c r="J9" s="20">
        <f>SUMIF(F:F,"*C*",D:D)</f>
        <v>862484.3</v>
      </c>
      <c r="K9" s="23"/>
    </row>
    <row r="10">
      <c r="A10" s="2">
        <v>730.0</v>
      </c>
      <c r="B10" s="15">
        <f>SUM('730'!B:B)</f>
        <v>2885</v>
      </c>
      <c r="C10" s="22">
        <v>20.3</v>
      </c>
      <c r="D10" s="9">
        <f t="shared" si="1"/>
        <v>58565.5</v>
      </c>
      <c r="E10" s="1" t="s">
        <v>13</v>
      </c>
      <c r="F10" s="1" t="s">
        <v>61</v>
      </c>
      <c r="G10" s="1" t="s">
        <v>52</v>
      </c>
      <c r="H10" s="23"/>
      <c r="I10" s="23"/>
      <c r="J10" s="20"/>
      <c r="K10" s="23"/>
    </row>
    <row r="11" hidden="1">
      <c r="A11" s="2">
        <v>648.0</v>
      </c>
      <c r="B11" s="21">
        <f>SUM('648'!B:B)</f>
        <v>2648</v>
      </c>
      <c r="C11" s="22">
        <v>18.6</v>
      </c>
      <c r="D11" s="9">
        <f t="shared" si="1"/>
        <v>49252.8</v>
      </c>
      <c r="E11" s="1" t="s">
        <v>13</v>
      </c>
      <c r="F11" s="1" t="s">
        <v>51</v>
      </c>
      <c r="G11" s="1" t="s">
        <v>52</v>
      </c>
      <c r="H11" s="12" t="s">
        <v>15</v>
      </c>
      <c r="I11" s="12" t="s">
        <v>62</v>
      </c>
      <c r="J11" s="14" t="s">
        <v>63</v>
      </c>
      <c r="K11" s="12" t="s">
        <v>64</v>
      </c>
    </row>
    <row r="12" hidden="1">
      <c r="A12" s="2">
        <v>456.0</v>
      </c>
      <c r="B12" s="7">
        <f>SUM('456'!B:B)</f>
        <v>947</v>
      </c>
      <c r="C12" s="4">
        <v>16.5</v>
      </c>
      <c r="D12" s="9">
        <f t="shared" si="1"/>
        <v>15625.5</v>
      </c>
      <c r="E12" s="1" t="s">
        <v>55</v>
      </c>
      <c r="F12" s="1" t="s">
        <v>60</v>
      </c>
      <c r="G12" s="1" t="s">
        <v>52</v>
      </c>
      <c r="H12" s="12" t="s">
        <v>51</v>
      </c>
      <c r="I12" s="28">
        <f>SUMIFS(B:B, E:E, "MICA",F:F, "A")</f>
        <v>42591</v>
      </c>
      <c r="J12" s="19">
        <f>SUMIFS(B:B, E:E, "TABLETA",F:F, "A")</f>
        <v>30052</v>
      </c>
      <c r="K12" s="19" t="str">
        <f>SUMIFS(B:B, E:E, "FUNDA",F:F, "A")</f>
        <v>#REF!</v>
      </c>
    </row>
    <row r="13" hidden="1">
      <c r="A13" s="2">
        <v>462.0</v>
      </c>
      <c r="B13" s="7">
        <f>SUM('462'!B:B)</f>
        <v>7770</v>
      </c>
      <c r="C13" s="4">
        <v>9.7</v>
      </c>
      <c r="D13" s="9">
        <f t="shared" si="1"/>
        <v>75369</v>
      </c>
      <c r="E13" s="1" t="s">
        <v>55</v>
      </c>
      <c r="F13" s="1" t="s">
        <v>51</v>
      </c>
      <c r="G13" s="1" t="s">
        <v>52</v>
      </c>
      <c r="H13" s="12" t="s">
        <v>60</v>
      </c>
      <c r="I13" s="19">
        <f>SUMIFS(B:B, E:E, "MICA",F:F, "B")</f>
        <v>1317</v>
      </c>
      <c r="J13" s="19">
        <f>SUMIFS(B:B, E:E, "TABLETA",F:F, "B")</f>
        <v>524</v>
      </c>
      <c r="K13" s="28">
        <f>SUMIFS(B:B, E:E, "FUNDA",F:F, "B")</f>
        <v>3600</v>
      </c>
    </row>
    <row r="14" hidden="1">
      <c r="A14" s="2">
        <v>728.0</v>
      </c>
      <c r="B14" s="15">
        <f>SUM('728'!B:B)</f>
        <v>2488</v>
      </c>
      <c r="C14" s="22">
        <v>21.8</v>
      </c>
      <c r="D14" s="9">
        <f t="shared" si="1"/>
        <v>54238.4</v>
      </c>
      <c r="E14" s="1" t="s">
        <v>13</v>
      </c>
      <c r="F14" s="1" t="s">
        <v>51</v>
      </c>
      <c r="G14" s="1" t="s">
        <v>52</v>
      </c>
      <c r="H14" s="12" t="s">
        <v>61</v>
      </c>
      <c r="I14" s="28">
        <f>SUMIFS(B:B, E:E, "MICA",F:F, "C")</f>
        <v>1900</v>
      </c>
      <c r="J14" s="19">
        <f>SUMIFS(B:B, E:E, "TABLETA",F:F, "C")</f>
        <v>140</v>
      </c>
      <c r="K14" s="19">
        <f>SUMIFS(B:B, E:E, "FUNDA",F:F, "C")</f>
        <v>36460</v>
      </c>
    </row>
    <row r="15" hidden="1">
      <c r="A15" s="2">
        <v>491.0</v>
      </c>
      <c r="B15" s="7">
        <f>SUM('491'!B:B)</f>
        <v>4389</v>
      </c>
      <c r="C15" s="4">
        <v>16.5</v>
      </c>
      <c r="D15" s="9">
        <f t="shared" si="1"/>
        <v>72418.5</v>
      </c>
      <c r="E15" s="1" t="s">
        <v>55</v>
      </c>
      <c r="F15" s="1" t="s">
        <v>51</v>
      </c>
      <c r="G15" s="1" t="s">
        <v>52</v>
      </c>
      <c r="H15" s="23"/>
      <c r="I15" s="23"/>
      <c r="J15" s="20"/>
      <c r="K15" s="23"/>
    </row>
    <row r="16" hidden="1">
      <c r="A16" s="2">
        <v>498.0</v>
      </c>
      <c r="B16" s="7">
        <f>SUM('498'!B:B)</f>
        <v>1191</v>
      </c>
      <c r="C16" s="4">
        <v>13.0</v>
      </c>
      <c r="D16" s="9">
        <f t="shared" si="1"/>
        <v>15483</v>
      </c>
      <c r="E16" s="1" t="s">
        <v>55</v>
      </c>
      <c r="F16" s="1" t="s">
        <v>51</v>
      </c>
      <c r="G16" s="1" t="s">
        <v>52</v>
      </c>
      <c r="H16" s="23"/>
      <c r="I16" s="23"/>
      <c r="J16" s="20"/>
      <c r="K16" s="23"/>
    </row>
    <row r="17">
      <c r="A17" s="2">
        <v>576.0</v>
      </c>
      <c r="B17" s="21">
        <f>SUM('576'!B:B)</f>
        <v>2267</v>
      </c>
      <c r="C17" s="4">
        <v>21.2</v>
      </c>
      <c r="D17" s="9">
        <f t="shared" si="1"/>
        <v>48060.4</v>
      </c>
      <c r="E17" s="1" t="s">
        <v>13</v>
      </c>
      <c r="F17" s="1" t="s">
        <v>61</v>
      </c>
      <c r="G17" s="1" t="s">
        <v>52</v>
      </c>
      <c r="H17" s="12" t="s">
        <v>15</v>
      </c>
      <c r="I17" s="12" t="s">
        <v>65</v>
      </c>
      <c r="J17" s="14" t="s">
        <v>66</v>
      </c>
      <c r="K17" s="12" t="s">
        <v>67</v>
      </c>
    </row>
    <row r="18">
      <c r="A18" s="2">
        <v>621.0</v>
      </c>
      <c r="B18" s="21">
        <f>SUM('621'!B:B)</f>
        <v>2144</v>
      </c>
      <c r="C18" s="4">
        <v>21.6</v>
      </c>
      <c r="D18" s="9">
        <f t="shared" si="1"/>
        <v>46310.4</v>
      </c>
      <c r="E18" s="1" t="s">
        <v>13</v>
      </c>
      <c r="F18" s="1" t="s">
        <v>61</v>
      </c>
      <c r="G18" s="1" t="s">
        <v>56</v>
      </c>
      <c r="H18" s="12" t="s">
        <v>51</v>
      </c>
      <c r="I18" s="29">
        <f>SUMIFS(D:D, E:E, "MICA",F:F, "A")</f>
        <v>687726.5</v>
      </c>
      <c r="J18" s="20">
        <f>SUMIFS(D:D, E:E, "TABLETA",F:F, "A")</f>
        <v>2585660.9</v>
      </c>
      <c r="K18" s="20" t="str">
        <f>SUMIFS(D:D, E:E, "FUNDA",F:F, "A")</f>
        <v>#REF!</v>
      </c>
    </row>
    <row r="19" hidden="1">
      <c r="A19" s="2">
        <v>540.0</v>
      </c>
      <c r="B19" s="21">
        <f>SUM('540'!B:B)</f>
        <v>1511</v>
      </c>
      <c r="C19" s="4">
        <v>89.0</v>
      </c>
      <c r="D19" s="9">
        <f t="shared" si="1"/>
        <v>134479</v>
      </c>
      <c r="E19" s="1" t="s">
        <v>41</v>
      </c>
      <c r="F19" s="1" t="s">
        <v>51</v>
      </c>
      <c r="G19" s="1" t="s">
        <v>56</v>
      </c>
      <c r="H19" s="12" t="s">
        <v>60</v>
      </c>
      <c r="I19" s="20">
        <f>SUMIFS(D:D, E:E, "MICA",F:F, "B")</f>
        <v>19732.5</v>
      </c>
      <c r="J19" s="20">
        <f>SUMIFS(D:D, E:E, "TABLETA",F:F, "B")</f>
        <v>53762.4</v>
      </c>
      <c r="K19" s="29">
        <f>SUMIFS(D:D, E:E, "FUNDA",F:F, "B")</f>
        <v>63000</v>
      </c>
    </row>
    <row r="20">
      <c r="A20" s="2">
        <v>439.0</v>
      </c>
      <c r="B20" s="7">
        <f>SUM('439'!B:B)</f>
        <v>1945</v>
      </c>
      <c r="C20" s="4">
        <v>18.2</v>
      </c>
      <c r="D20" s="9">
        <f t="shared" si="1"/>
        <v>35399</v>
      </c>
      <c r="E20" s="1" t="s">
        <v>13</v>
      </c>
      <c r="F20" s="1" t="s">
        <v>61</v>
      </c>
      <c r="G20" s="1" t="s">
        <v>56</v>
      </c>
      <c r="H20" s="12" t="s">
        <v>61</v>
      </c>
      <c r="I20" s="29">
        <f>SUMIFS(D:D, E:E, "MICA",F:F, "C")</f>
        <v>18800.4</v>
      </c>
      <c r="J20" s="20">
        <f>SUMIFS(D:D, E:E, "TABLETA",F:F, "C")</f>
        <v>15016</v>
      </c>
      <c r="K20" s="20">
        <f>SUMIFS(D:D, E:E, "FUNDA",F:F, "C")</f>
        <v>828667.9</v>
      </c>
    </row>
    <row r="21">
      <c r="A21" s="2">
        <v>584.0</v>
      </c>
      <c r="B21" s="21">
        <f>SUM('584'!B:B)</f>
        <v>1931</v>
      </c>
      <c r="C21" s="4">
        <v>20.5</v>
      </c>
      <c r="D21" s="9">
        <f t="shared" si="1"/>
        <v>39585.5</v>
      </c>
      <c r="E21" s="1" t="s">
        <v>13</v>
      </c>
      <c r="F21" s="1" t="s">
        <v>61</v>
      </c>
      <c r="G21" s="1" t="s">
        <v>52</v>
      </c>
      <c r="H21" s="30"/>
      <c r="I21" s="30"/>
      <c r="J21" s="31"/>
      <c r="K21" s="30"/>
    </row>
    <row r="22">
      <c r="A22" s="2">
        <v>722.0</v>
      </c>
      <c r="B22" s="15">
        <f>SUM('722'!B:B)</f>
        <v>1800</v>
      </c>
      <c r="C22" s="22">
        <v>21.7</v>
      </c>
      <c r="D22" s="9">
        <f t="shared" si="1"/>
        <v>39060</v>
      </c>
      <c r="E22" s="1" t="s">
        <v>13</v>
      </c>
      <c r="F22" s="1" t="s">
        <v>61</v>
      </c>
      <c r="G22" s="1" t="s">
        <v>56</v>
      </c>
      <c r="H22" s="30"/>
      <c r="I22" s="30"/>
      <c r="J22" s="31"/>
      <c r="K22" s="30"/>
    </row>
    <row r="23" hidden="1">
      <c r="A23" s="2">
        <v>578.0</v>
      </c>
      <c r="B23" s="21">
        <f>SUM('578'!B:B)</f>
        <v>50</v>
      </c>
      <c r="C23" s="4">
        <v>98.0</v>
      </c>
      <c r="D23" s="9">
        <f t="shared" si="1"/>
        <v>4900</v>
      </c>
      <c r="E23" s="1" t="s">
        <v>41</v>
      </c>
      <c r="F23" s="1" t="s">
        <v>61</v>
      </c>
      <c r="G23" s="1" t="s">
        <v>56</v>
      </c>
      <c r="H23" s="30"/>
      <c r="I23" s="30"/>
      <c r="J23" s="31"/>
      <c r="K23" s="30"/>
    </row>
    <row r="24">
      <c r="A24" s="2">
        <v>450.0</v>
      </c>
      <c r="B24" s="7">
        <f>SUM('450'!B:B)</f>
        <v>1726</v>
      </c>
      <c r="C24" s="4">
        <v>15.8</v>
      </c>
      <c r="D24" s="9">
        <f t="shared" si="1"/>
        <v>27270.8</v>
      </c>
      <c r="E24" s="1" t="s">
        <v>13</v>
      </c>
      <c r="F24" s="1" t="s">
        <v>61</v>
      </c>
      <c r="G24" s="1" t="s">
        <v>56</v>
      </c>
      <c r="H24" s="30"/>
      <c r="I24" s="30"/>
      <c r="J24" s="31"/>
      <c r="K24" s="30"/>
    </row>
    <row r="25">
      <c r="A25" s="2">
        <v>735.0</v>
      </c>
      <c r="B25" s="15">
        <f>SUM('735'!B:B)</f>
        <v>1769</v>
      </c>
      <c r="C25" s="22">
        <v>23.2</v>
      </c>
      <c r="D25" s="9">
        <f t="shared" si="1"/>
        <v>41040.8</v>
      </c>
      <c r="E25" s="1" t="s">
        <v>13</v>
      </c>
      <c r="F25" s="1" t="s">
        <v>61</v>
      </c>
      <c r="G25" s="1" t="s">
        <v>56</v>
      </c>
      <c r="H25" s="30"/>
      <c r="I25" s="30"/>
      <c r="J25" s="31"/>
      <c r="K25" s="30"/>
    </row>
    <row r="26" hidden="1">
      <c r="A26" s="2">
        <v>594.0</v>
      </c>
      <c r="B26" s="21">
        <f>SUM('594'!B:B)</f>
        <v>1427</v>
      </c>
      <c r="C26" s="4">
        <v>8.7</v>
      </c>
      <c r="D26" s="9">
        <f t="shared" si="1"/>
        <v>12414.9</v>
      </c>
      <c r="E26" s="1" t="s">
        <v>55</v>
      </c>
      <c r="F26" s="1" t="s">
        <v>61</v>
      </c>
      <c r="G26" s="1" t="s">
        <v>56</v>
      </c>
      <c r="H26" s="30"/>
      <c r="I26" s="30"/>
      <c r="J26" s="31"/>
      <c r="K26" s="30"/>
    </row>
    <row r="27" hidden="1">
      <c r="A27" s="2">
        <v>598.0</v>
      </c>
      <c r="B27" s="21">
        <f>SUM('598'!B:B)</f>
        <v>1491</v>
      </c>
      <c r="C27" s="4">
        <v>21.0</v>
      </c>
      <c r="D27" s="9">
        <f t="shared" si="1"/>
        <v>31311</v>
      </c>
      <c r="E27" s="1" t="s">
        <v>55</v>
      </c>
      <c r="F27" s="1" t="s">
        <v>51</v>
      </c>
      <c r="G27" s="1" t="s">
        <v>56</v>
      </c>
      <c r="H27" s="30"/>
      <c r="I27" s="30"/>
      <c r="J27" s="31"/>
      <c r="K27" s="30"/>
    </row>
    <row r="28" hidden="1">
      <c r="A28" s="2">
        <v>599.0</v>
      </c>
      <c r="B28" s="21">
        <f>SUM('599'!B:B)</f>
        <v>1450</v>
      </c>
      <c r="C28" s="4">
        <v>123.6</v>
      </c>
      <c r="D28" s="9">
        <f t="shared" si="1"/>
        <v>179220</v>
      </c>
      <c r="E28" s="1" t="s">
        <v>41</v>
      </c>
      <c r="F28" s="1" t="s">
        <v>51</v>
      </c>
      <c r="G28" s="1" t="s">
        <v>56</v>
      </c>
      <c r="H28" s="30"/>
      <c r="I28" s="30"/>
      <c r="J28" s="31"/>
      <c r="K28" s="30"/>
    </row>
    <row r="29" hidden="1">
      <c r="A29" s="2">
        <v>601.0</v>
      </c>
      <c r="B29" s="21">
        <f>SUM('601'!B:B)</f>
        <v>18005</v>
      </c>
      <c r="C29" s="4">
        <v>19.0</v>
      </c>
      <c r="D29" s="9">
        <f t="shared" si="1"/>
        <v>342095</v>
      </c>
      <c r="E29" s="1" t="s">
        <v>55</v>
      </c>
      <c r="F29" s="1" t="s">
        <v>51</v>
      </c>
      <c r="G29" s="1" t="s">
        <v>56</v>
      </c>
      <c r="H29" s="30"/>
      <c r="I29" s="30"/>
      <c r="J29" s="31"/>
      <c r="K29" s="30"/>
    </row>
    <row r="30" hidden="1">
      <c r="A30" s="2">
        <v>602.0</v>
      </c>
      <c r="B30" s="32">
        <f>SUM('602'!B:B)</f>
        <v>524</v>
      </c>
      <c r="C30" s="4">
        <v>102.6</v>
      </c>
      <c r="D30" s="9">
        <f t="shared" si="1"/>
        <v>53762.4</v>
      </c>
      <c r="E30" s="1" t="s">
        <v>41</v>
      </c>
      <c r="F30" s="1" t="s">
        <v>60</v>
      </c>
      <c r="G30" s="1" t="s">
        <v>56</v>
      </c>
      <c r="H30" s="30"/>
      <c r="I30" s="30"/>
      <c r="J30" s="31"/>
      <c r="K30" s="30"/>
    </row>
    <row r="31" hidden="1">
      <c r="A31" s="2">
        <v>603.0</v>
      </c>
      <c r="B31" s="21">
        <f>SUM('603'!B:B)</f>
        <v>3624</v>
      </c>
      <c r="C31" s="4">
        <v>99.5</v>
      </c>
      <c r="D31" s="9">
        <f t="shared" si="1"/>
        <v>360588</v>
      </c>
      <c r="E31" s="1" t="s">
        <v>41</v>
      </c>
      <c r="F31" s="1" t="s">
        <v>51</v>
      </c>
      <c r="G31" s="1" t="s">
        <v>56</v>
      </c>
      <c r="H31" s="30"/>
      <c r="I31" s="30"/>
      <c r="J31" s="31"/>
      <c r="K31" s="30"/>
    </row>
    <row r="32">
      <c r="A32" s="2">
        <v>582.0</v>
      </c>
      <c r="B32" s="21">
        <f>SUM('582'!B:B)</f>
        <v>1638</v>
      </c>
      <c r="C32" s="4">
        <v>19.6</v>
      </c>
      <c r="D32" s="9">
        <f t="shared" si="1"/>
        <v>32104.8</v>
      </c>
      <c r="E32" s="1" t="s">
        <v>13</v>
      </c>
      <c r="F32" s="1" t="s">
        <v>61</v>
      </c>
      <c r="G32" s="1" t="s">
        <v>52</v>
      </c>
      <c r="H32" s="30"/>
      <c r="I32" s="30"/>
      <c r="J32" s="31"/>
      <c r="K32" s="30"/>
    </row>
    <row r="33" hidden="1">
      <c r="A33" s="2">
        <v>644.0</v>
      </c>
      <c r="B33" s="21">
        <f>SUM('644'!B:B)</f>
        <v>1529</v>
      </c>
      <c r="C33" s="22">
        <v>24.0</v>
      </c>
      <c r="D33" s="9">
        <f t="shared" si="1"/>
        <v>36696</v>
      </c>
      <c r="E33" s="1" t="s">
        <v>13</v>
      </c>
      <c r="F33" s="1" t="s">
        <v>51</v>
      </c>
      <c r="G33" s="1" t="s">
        <v>52</v>
      </c>
      <c r="H33" s="30"/>
      <c r="I33" s="30"/>
      <c r="J33" s="31"/>
      <c r="K33" s="30"/>
    </row>
    <row r="34">
      <c r="A34" s="2">
        <v>669.0</v>
      </c>
      <c r="B34" s="7">
        <f>SUM('669'!B:B)</f>
        <v>1500</v>
      </c>
      <c r="C34" s="22">
        <v>31.6</v>
      </c>
      <c r="D34" s="9">
        <f t="shared" si="1"/>
        <v>47400</v>
      </c>
      <c r="E34" s="1" t="s">
        <v>13</v>
      </c>
      <c r="F34" s="1" t="s">
        <v>61</v>
      </c>
      <c r="G34" s="1" t="s">
        <v>56</v>
      </c>
      <c r="H34" s="30"/>
      <c r="I34" s="30"/>
      <c r="J34" s="31"/>
      <c r="K34" s="30"/>
    </row>
    <row r="35" hidden="1">
      <c r="A35" s="2">
        <v>613.0</v>
      </c>
      <c r="B35" s="21">
        <f>SUM('613'!B:B)</f>
        <v>4113</v>
      </c>
      <c r="C35" s="4">
        <v>94.7</v>
      </c>
      <c r="D35" s="9">
        <f t="shared" si="1"/>
        <v>389501.1</v>
      </c>
      <c r="E35" s="1" t="s">
        <v>41</v>
      </c>
      <c r="F35" s="1" t="s">
        <v>51</v>
      </c>
      <c r="G35" s="1" t="s">
        <v>56</v>
      </c>
      <c r="H35" s="30"/>
      <c r="I35" s="30"/>
      <c r="J35" s="31"/>
      <c r="K35" s="30"/>
    </row>
    <row r="36">
      <c r="A36" s="2">
        <v>388.0</v>
      </c>
      <c r="B36" s="11">
        <f>SUM('388'!B:B)</f>
        <v>1306</v>
      </c>
      <c r="C36" s="4">
        <v>17.5</v>
      </c>
      <c r="D36" s="9">
        <f t="shared" si="1"/>
        <v>22855</v>
      </c>
      <c r="E36" s="1" t="s">
        <v>13</v>
      </c>
      <c r="F36" s="1" t="s">
        <v>61</v>
      </c>
      <c r="G36" s="1" t="s">
        <v>56</v>
      </c>
      <c r="H36" s="30"/>
      <c r="I36" s="30"/>
      <c r="J36" s="31"/>
      <c r="K36" s="30"/>
    </row>
    <row r="37" hidden="1">
      <c r="A37" s="2">
        <v>617.0</v>
      </c>
      <c r="B37" s="21">
        <f>SUM('617'!B:B)</f>
        <v>90</v>
      </c>
      <c r="C37" s="4">
        <v>112.4</v>
      </c>
      <c r="D37" s="9">
        <f t="shared" si="1"/>
        <v>10116</v>
      </c>
      <c r="E37" s="1" t="s">
        <v>41</v>
      </c>
      <c r="F37" s="1" t="s">
        <v>61</v>
      </c>
      <c r="G37" s="1" t="s">
        <v>56</v>
      </c>
      <c r="H37" s="30"/>
      <c r="I37" s="30"/>
      <c r="J37" s="31"/>
      <c r="K37" s="30"/>
    </row>
    <row r="38" hidden="1">
      <c r="A38" s="2">
        <v>620.0</v>
      </c>
      <c r="B38" s="21">
        <f>SUM('620'!B:B)</f>
        <v>660</v>
      </c>
      <c r="C38" s="4">
        <v>19.3</v>
      </c>
      <c r="D38" s="9">
        <f t="shared" si="1"/>
        <v>12738</v>
      </c>
      <c r="E38" s="1" t="s">
        <v>55</v>
      </c>
      <c r="F38" s="1" t="s">
        <v>51</v>
      </c>
      <c r="G38" s="1" t="s">
        <v>56</v>
      </c>
      <c r="H38" s="30"/>
      <c r="I38" s="30"/>
      <c r="J38" s="31"/>
      <c r="K38" s="30"/>
    </row>
    <row r="39">
      <c r="A39" s="2">
        <v>676.0</v>
      </c>
      <c r="B39" s="15">
        <f>SUM('676'!B:B)</f>
        <v>1010</v>
      </c>
      <c r="C39" s="22">
        <v>17.3</v>
      </c>
      <c r="D39" s="9">
        <f t="shared" si="1"/>
        <v>17473</v>
      </c>
      <c r="E39" s="1" t="s">
        <v>13</v>
      </c>
      <c r="F39" s="1" t="s">
        <v>61</v>
      </c>
      <c r="G39" s="1" t="s">
        <v>56</v>
      </c>
      <c r="H39" s="30"/>
      <c r="I39" s="30"/>
      <c r="J39" s="31"/>
      <c r="K39" s="30"/>
    </row>
    <row r="40" hidden="1">
      <c r="A40" s="2">
        <v>714.0</v>
      </c>
      <c r="B40" s="15">
        <f>SUM('714'!B:B)</f>
        <v>978</v>
      </c>
      <c r="C40" s="22">
        <v>17.2</v>
      </c>
      <c r="D40" s="9">
        <f t="shared" si="1"/>
        <v>16821.6</v>
      </c>
      <c r="E40" s="1" t="s">
        <v>13</v>
      </c>
      <c r="F40" s="1" t="s">
        <v>51</v>
      </c>
      <c r="G40" s="1" t="s">
        <v>56</v>
      </c>
      <c r="H40" s="30"/>
      <c r="I40" s="30"/>
      <c r="J40" s="31"/>
      <c r="K40" s="30"/>
    </row>
    <row r="41">
      <c r="A41" s="2">
        <v>643.0</v>
      </c>
      <c r="B41" s="21">
        <f>SUM('643'!B:B)</f>
        <v>950</v>
      </c>
      <c r="C41" s="22">
        <v>40.4</v>
      </c>
      <c r="D41" s="9">
        <f t="shared" si="1"/>
        <v>38380</v>
      </c>
      <c r="E41" s="1" t="s">
        <v>13</v>
      </c>
      <c r="F41" s="1" t="s">
        <v>61</v>
      </c>
      <c r="G41" s="1" t="s">
        <v>56</v>
      </c>
      <c r="H41" s="30"/>
      <c r="I41" s="30"/>
      <c r="J41" s="31"/>
      <c r="K41" s="30"/>
    </row>
    <row r="42" hidden="1">
      <c r="A42" s="2">
        <v>641.0</v>
      </c>
      <c r="B42" s="21">
        <f>SUM('641'!B:B)</f>
        <v>3630</v>
      </c>
      <c r="C42" s="4">
        <v>12.2</v>
      </c>
      <c r="D42" s="9">
        <f t="shared" si="1"/>
        <v>44286</v>
      </c>
      <c r="E42" s="1" t="s">
        <v>55</v>
      </c>
      <c r="F42" s="1" t="s">
        <v>51</v>
      </c>
      <c r="G42" s="1" t="s">
        <v>52</v>
      </c>
      <c r="H42" s="30"/>
      <c r="I42" s="30"/>
      <c r="J42" s="31"/>
      <c r="K42" s="30"/>
    </row>
    <row r="43">
      <c r="A43" s="2">
        <v>474.0</v>
      </c>
      <c r="B43" s="7">
        <f>SUM('474'!B:B)</f>
        <v>901</v>
      </c>
      <c r="C43" s="4">
        <v>35.9</v>
      </c>
      <c r="D43" s="9">
        <f t="shared" si="1"/>
        <v>32345.9</v>
      </c>
      <c r="E43" s="1" t="s">
        <v>13</v>
      </c>
      <c r="F43" s="1" t="s">
        <v>61</v>
      </c>
      <c r="G43" s="1" t="s">
        <v>52</v>
      </c>
      <c r="H43" s="30"/>
      <c r="I43" s="30"/>
      <c r="J43" s="31"/>
      <c r="K43" s="30"/>
    </row>
    <row r="44">
      <c r="A44" s="2">
        <v>666.0</v>
      </c>
      <c r="B44" s="15">
        <f>SUM('666'!B:B)</f>
        <v>875</v>
      </c>
      <c r="C44" s="22">
        <v>16.9</v>
      </c>
      <c r="D44" s="9">
        <f t="shared" si="1"/>
        <v>14787.5</v>
      </c>
      <c r="E44" s="1" t="s">
        <v>13</v>
      </c>
      <c r="F44" s="1" t="s">
        <v>61</v>
      </c>
      <c r="G44" s="1" t="s">
        <v>52</v>
      </c>
      <c r="H44" s="30"/>
      <c r="I44" s="30"/>
      <c r="J44" s="31"/>
      <c r="K44" s="30"/>
    </row>
    <row r="45">
      <c r="A45" s="2">
        <v>398.0</v>
      </c>
      <c r="B45" s="11">
        <f>SUM('398'!B:B)</f>
        <v>809</v>
      </c>
      <c r="C45" s="4">
        <v>17.3</v>
      </c>
      <c r="D45" s="9">
        <f t="shared" si="1"/>
        <v>13995.7</v>
      </c>
      <c r="E45" s="1" t="s">
        <v>13</v>
      </c>
      <c r="F45" s="1" t="s">
        <v>61</v>
      </c>
      <c r="G45" s="1" t="s">
        <v>56</v>
      </c>
      <c r="H45" s="30"/>
      <c r="I45" s="30"/>
      <c r="J45" s="31"/>
      <c r="K45" s="30"/>
    </row>
    <row r="46">
      <c r="A46" s="2">
        <v>670.0</v>
      </c>
      <c r="B46" s="7">
        <f>SUM('670'!B:B)</f>
        <v>800</v>
      </c>
      <c r="C46" s="22">
        <v>25.1</v>
      </c>
      <c r="D46" s="9">
        <f t="shared" si="1"/>
        <v>20080</v>
      </c>
      <c r="E46" s="1" t="s">
        <v>13</v>
      </c>
      <c r="F46" s="1" t="s">
        <v>61</v>
      </c>
      <c r="G46" s="1" t="s">
        <v>56</v>
      </c>
      <c r="H46" s="30"/>
      <c r="I46" s="30"/>
      <c r="J46" s="31"/>
      <c r="K46" s="30"/>
    </row>
    <row r="47">
      <c r="A47" s="2">
        <v>680.0</v>
      </c>
      <c r="B47" s="21">
        <f>SUM('680'!B:B)</f>
        <v>720</v>
      </c>
      <c r="C47" s="22">
        <v>34.5</v>
      </c>
      <c r="D47" s="9">
        <f t="shared" si="1"/>
        <v>24840</v>
      </c>
      <c r="E47" s="1" t="s">
        <v>13</v>
      </c>
      <c r="F47" s="1" t="s">
        <v>61</v>
      </c>
      <c r="G47" s="1" t="s">
        <v>56</v>
      </c>
      <c r="H47" s="30"/>
      <c r="I47" s="30"/>
      <c r="J47" s="31"/>
      <c r="K47" s="30"/>
    </row>
    <row r="48" hidden="1">
      <c r="A48" s="2">
        <v>647.0</v>
      </c>
      <c r="B48" s="21">
        <f>SUM('647'!B:B)</f>
        <v>363</v>
      </c>
      <c r="C48" s="22">
        <v>14.5</v>
      </c>
      <c r="D48" s="9">
        <f t="shared" si="1"/>
        <v>5263.5</v>
      </c>
      <c r="E48" s="1" t="s">
        <v>55</v>
      </c>
      <c r="F48" s="1" t="s">
        <v>61</v>
      </c>
      <c r="G48" s="1" t="s">
        <v>52</v>
      </c>
      <c r="H48" s="30"/>
      <c r="I48" s="30"/>
      <c r="J48" s="31"/>
      <c r="K48" s="30"/>
    </row>
    <row r="49">
      <c r="A49" s="2">
        <v>684.0</v>
      </c>
      <c r="B49" s="7">
        <f>SUM('684'!B:B)</f>
        <v>720</v>
      </c>
      <c r="C49" s="22">
        <v>17.6</v>
      </c>
      <c r="D49" s="9">
        <f t="shared" si="1"/>
        <v>12672</v>
      </c>
      <c r="E49" s="1" t="s">
        <v>13</v>
      </c>
      <c r="F49" s="1" t="s">
        <v>61</v>
      </c>
      <c r="G49" s="1" t="s">
        <v>56</v>
      </c>
      <c r="H49" s="30"/>
      <c r="I49" s="30"/>
      <c r="J49" s="31"/>
      <c r="K49" s="30"/>
    </row>
    <row r="50" hidden="1">
      <c r="A50" s="2">
        <v>650.0</v>
      </c>
      <c r="B50" s="21">
        <f>SUM('650'!B:B)</f>
        <v>2720</v>
      </c>
      <c r="C50" s="22">
        <v>13.2</v>
      </c>
      <c r="D50" s="9">
        <f t="shared" si="1"/>
        <v>35904</v>
      </c>
      <c r="E50" s="1" t="s">
        <v>55</v>
      </c>
      <c r="F50" s="1" t="s">
        <v>51</v>
      </c>
      <c r="G50" s="1" t="s">
        <v>52</v>
      </c>
      <c r="H50" s="30"/>
      <c r="I50" s="30"/>
      <c r="J50" s="31"/>
      <c r="K50" s="30"/>
    </row>
    <row r="51" hidden="1">
      <c r="A51" s="2">
        <v>651.0</v>
      </c>
      <c r="B51" s="21">
        <f>SUM('651'!B:B)</f>
        <v>180</v>
      </c>
      <c r="C51" s="22">
        <v>16.3</v>
      </c>
      <c r="D51" s="9">
        <f t="shared" si="1"/>
        <v>2934</v>
      </c>
      <c r="E51" s="1" t="s">
        <v>55</v>
      </c>
      <c r="F51" s="1" t="s">
        <v>51</v>
      </c>
      <c r="G51" s="1" t="s">
        <v>52</v>
      </c>
      <c r="H51" s="30"/>
      <c r="I51" s="30"/>
      <c r="J51" s="31"/>
      <c r="K51" s="30"/>
    </row>
    <row r="52" hidden="1">
      <c r="A52" s="2">
        <v>652.0</v>
      </c>
      <c r="B52" s="21">
        <f>SUM('652'!B:B)</f>
        <v>110</v>
      </c>
      <c r="C52" s="22">
        <v>10.2</v>
      </c>
      <c r="D52" s="9">
        <f t="shared" si="1"/>
        <v>1122</v>
      </c>
      <c r="E52" s="1" t="s">
        <v>55</v>
      </c>
      <c r="F52" s="1" t="s">
        <v>61</v>
      </c>
      <c r="G52" s="1" t="s">
        <v>52</v>
      </c>
      <c r="H52" s="30"/>
      <c r="I52" s="30"/>
      <c r="J52" s="31"/>
      <c r="K52" s="30"/>
    </row>
    <row r="53" hidden="1">
      <c r="A53" s="2">
        <v>653.0</v>
      </c>
      <c r="B53" s="21">
        <f>SUM('653'!B:B)</f>
        <v>370</v>
      </c>
      <c r="C53" s="22">
        <v>11.1</v>
      </c>
      <c r="D53" s="9">
        <f t="shared" si="1"/>
        <v>4107</v>
      </c>
      <c r="E53" s="1" t="s">
        <v>55</v>
      </c>
      <c r="F53" s="1" t="s">
        <v>60</v>
      </c>
      <c r="G53" s="1" t="s">
        <v>52</v>
      </c>
      <c r="H53" s="30"/>
      <c r="I53" s="30"/>
      <c r="J53" s="31"/>
      <c r="K53" s="30"/>
    </row>
    <row r="54" hidden="1">
      <c r="A54" s="2">
        <v>655.0</v>
      </c>
      <c r="B54" s="21">
        <f>SUM('655'!B:B)</f>
        <v>502</v>
      </c>
      <c r="C54" s="22">
        <v>53.1</v>
      </c>
      <c r="D54" s="9">
        <f t="shared" si="1"/>
        <v>26656.2</v>
      </c>
      <c r="E54" s="1" t="s">
        <v>41</v>
      </c>
      <c r="F54" s="1" t="s">
        <v>51</v>
      </c>
      <c r="G54" s="1" t="s">
        <v>56</v>
      </c>
      <c r="H54" s="30"/>
      <c r="I54" s="30"/>
      <c r="J54" s="31"/>
      <c r="K54" s="30"/>
    </row>
    <row r="55" hidden="1">
      <c r="A55" s="2">
        <v>656.0</v>
      </c>
      <c r="B55" s="15">
        <f>SUM('656'!B:B)</f>
        <v>1275</v>
      </c>
      <c r="C55" s="22">
        <v>58.1</v>
      </c>
      <c r="D55" s="9">
        <f t="shared" si="1"/>
        <v>74077.5</v>
      </c>
      <c r="E55" s="1" t="s">
        <v>41</v>
      </c>
      <c r="F55" s="1" t="s">
        <v>51</v>
      </c>
      <c r="G55" s="1" t="s">
        <v>56</v>
      </c>
      <c r="H55" s="30"/>
      <c r="I55" s="30"/>
      <c r="J55" s="31"/>
      <c r="K55" s="30"/>
    </row>
    <row r="56" hidden="1">
      <c r="A56" s="2">
        <v>657.0</v>
      </c>
      <c r="B56" s="15">
        <f>SUM('657'!B:B)</f>
        <v>946</v>
      </c>
      <c r="C56" s="22">
        <v>86.1</v>
      </c>
      <c r="D56" s="9">
        <f t="shared" si="1"/>
        <v>81450.6</v>
      </c>
      <c r="E56" s="1" t="s">
        <v>41</v>
      </c>
      <c r="F56" s="1" t="s">
        <v>51</v>
      </c>
      <c r="G56" s="1" t="s">
        <v>56</v>
      </c>
      <c r="H56" s="30"/>
      <c r="I56" s="30"/>
      <c r="J56" s="31"/>
      <c r="K56" s="30"/>
    </row>
    <row r="57" hidden="1">
      <c r="A57" s="2">
        <v>658.0</v>
      </c>
      <c r="B57" s="15">
        <f>SUM('658'!B:B)</f>
        <v>935</v>
      </c>
      <c r="C57" s="22">
        <v>86.1</v>
      </c>
      <c r="D57" s="9">
        <f t="shared" si="1"/>
        <v>80503.5</v>
      </c>
      <c r="E57" s="1" t="s">
        <v>41</v>
      </c>
      <c r="F57" s="1" t="s">
        <v>51</v>
      </c>
      <c r="G57" s="1" t="s">
        <v>56</v>
      </c>
      <c r="H57" s="30"/>
      <c r="I57" s="30"/>
      <c r="J57" s="31"/>
      <c r="K57" s="30"/>
    </row>
    <row r="58">
      <c r="A58" s="2">
        <v>683.0</v>
      </c>
      <c r="B58" s="7">
        <f>SUM('683'!B:B)</f>
        <v>709</v>
      </c>
      <c r="C58" s="22">
        <v>26.6</v>
      </c>
      <c r="D58" s="9">
        <f t="shared" si="1"/>
        <v>18859.4</v>
      </c>
      <c r="E58" s="1" t="s">
        <v>13</v>
      </c>
      <c r="F58" s="1" t="s">
        <v>61</v>
      </c>
      <c r="G58" s="1" t="s">
        <v>52</v>
      </c>
      <c r="H58" s="30"/>
      <c r="I58" s="30"/>
      <c r="J58" s="31"/>
      <c r="K58" s="30"/>
    </row>
    <row r="59" hidden="1">
      <c r="A59" s="2">
        <v>739.0</v>
      </c>
      <c r="B59" s="15">
        <f>SUM('739'!B:B)</f>
        <v>680</v>
      </c>
      <c r="C59" s="22">
        <v>28.8</v>
      </c>
      <c r="D59" s="9">
        <f t="shared" si="1"/>
        <v>19584</v>
      </c>
      <c r="E59" s="1" t="s">
        <v>13</v>
      </c>
      <c r="F59" s="1" t="s">
        <v>51</v>
      </c>
      <c r="G59" s="1" t="s">
        <v>52</v>
      </c>
      <c r="H59" s="30"/>
      <c r="I59" s="30"/>
      <c r="J59" s="31"/>
      <c r="K59" s="30"/>
    </row>
    <row r="60">
      <c r="A60" s="2">
        <v>642.0</v>
      </c>
      <c r="B60" s="21">
        <f>SUM('642'!B:B)</f>
        <v>617</v>
      </c>
      <c r="C60" s="22">
        <v>12.6</v>
      </c>
      <c r="D60" s="9">
        <f t="shared" si="1"/>
        <v>7774.2</v>
      </c>
      <c r="E60" s="1" t="s">
        <v>13</v>
      </c>
      <c r="F60" s="1" t="s">
        <v>61</v>
      </c>
      <c r="G60" s="1" t="s">
        <v>56</v>
      </c>
      <c r="H60" s="30"/>
      <c r="I60" s="30"/>
      <c r="J60" s="31"/>
      <c r="K60" s="30"/>
    </row>
    <row r="61">
      <c r="A61" s="2">
        <v>671.0</v>
      </c>
      <c r="B61" s="7">
        <f>SUM('671'!B:B)</f>
        <v>599</v>
      </c>
      <c r="C61" s="22">
        <v>31.6</v>
      </c>
      <c r="D61" s="9">
        <f t="shared" si="1"/>
        <v>18928.4</v>
      </c>
      <c r="E61" s="1" t="s">
        <v>13</v>
      </c>
      <c r="F61" s="1" t="s">
        <v>61</v>
      </c>
      <c r="G61" s="1" t="s">
        <v>56</v>
      </c>
      <c r="H61" s="30"/>
      <c r="I61" s="30"/>
      <c r="J61" s="31"/>
      <c r="K61" s="30"/>
    </row>
    <row r="62">
      <c r="A62" s="2">
        <v>646.0</v>
      </c>
      <c r="B62" s="21">
        <f>SUM('646'!B:B)</f>
        <v>560</v>
      </c>
      <c r="C62" s="22">
        <v>25.2</v>
      </c>
      <c r="D62" s="9">
        <f t="shared" si="1"/>
        <v>14112</v>
      </c>
      <c r="E62" s="1" t="s">
        <v>13</v>
      </c>
      <c r="F62" s="1" t="s">
        <v>61</v>
      </c>
      <c r="G62" s="1" t="s">
        <v>52</v>
      </c>
    </row>
    <row r="63">
      <c r="A63" s="2">
        <v>604.0</v>
      </c>
      <c r="B63" s="21">
        <f>SUM('604'!B:B)</f>
        <v>496</v>
      </c>
      <c r="C63" s="4">
        <v>30.9</v>
      </c>
      <c r="D63" s="9">
        <f t="shared" si="1"/>
        <v>15326.4</v>
      </c>
      <c r="E63" s="1" t="s">
        <v>13</v>
      </c>
      <c r="F63" s="1" t="s">
        <v>61</v>
      </c>
      <c r="G63" s="1" t="s">
        <v>52</v>
      </c>
    </row>
    <row r="64">
      <c r="A64" s="2">
        <v>567.0</v>
      </c>
      <c r="B64" s="21">
        <f>SUM('567'!B:B)</f>
        <v>448</v>
      </c>
      <c r="C64" s="4">
        <v>33.2</v>
      </c>
      <c r="D64" s="9">
        <f t="shared" si="1"/>
        <v>14873.6</v>
      </c>
      <c r="E64" s="1" t="s">
        <v>13</v>
      </c>
      <c r="F64" s="1" t="s">
        <v>61</v>
      </c>
      <c r="G64" s="1" t="s">
        <v>52</v>
      </c>
      <c r="H64" s="30"/>
      <c r="I64" s="30"/>
      <c r="J64" s="31"/>
      <c r="K64" s="30"/>
    </row>
    <row r="65">
      <c r="A65" s="2">
        <v>659.0</v>
      </c>
      <c r="B65" s="15">
        <f>SUM('659'!B:B)</f>
        <v>490</v>
      </c>
      <c r="C65" s="22">
        <v>20.9</v>
      </c>
      <c r="D65" s="9">
        <f t="shared" si="1"/>
        <v>10241</v>
      </c>
      <c r="E65" s="1" t="s">
        <v>13</v>
      </c>
      <c r="F65" s="1" t="s">
        <v>61</v>
      </c>
      <c r="G65" s="1" t="s">
        <v>56</v>
      </c>
      <c r="H65" s="30"/>
      <c r="I65" s="30"/>
      <c r="J65" s="31"/>
      <c r="K65" s="30"/>
    </row>
    <row r="66">
      <c r="A66" s="2">
        <v>639.0</v>
      </c>
      <c r="B66" s="21">
        <f>SUM('639'!B:B)</f>
        <v>480</v>
      </c>
      <c r="C66" s="4">
        <v>27.9</v>
      </c>
      <c r="D66" s="9">
        <f t="shared" si="1"/>
        <v>13392</v>
      </c>
      <c r="E66" s="1" t="s">
        <v>13</v>
      </c>
      <c r="F66" s="1" t="s">
        <v>61</v>
      </c>
      <c r="G66" s="1" t="s">
        <v>52</v>
      </c>
      <c r="H66" s="30"/>
      <c r="I66" s="30"/>
      <c r="J66" s="31"/>
      <c r="K66" s="30"/>
    </row>
    <row r="67">
      <c r="A67" s="2">
        <v>665.0</v>
      </c>
      <c r="B67" s="15">
        <f>SUM('665'!B:B)</f>
        <v>480</v>
      </c>
      <c r="C67" s="22">
        <v>14.4</v>
      </c>
      <c r="D67" s="9">
        <f t="shared" si="1"/>
        <v>6912</v>
      </c>
      <c r="E67" s="1" t="s">
        <v>13</v>
      </c>
      <c r="F67" s="1" t="s">
        <v>61</v>
      </c>
      <c r="G67" s="1" t="s">
        <v>52</v>
      </c>
      <c r="H67" s="30"/>
      <c r="I67" s="30"/>
      <c r="J67" s="31"/>
      <c r="K67" s="30"/>
    </row>
    <row r="68" hidden="1">
      <c r="A68" s="2">
        <v>674.0</v>
      </c>
      <c r="B68" s="7">
        <f>SUM('674'!B:B)</f>
        <v>1315</v>
      </c>
      <c r="C68" s="22">
        <v>49.8</v>
      </c>
      <c r="D68" s="9">
        <f t="shared" si="1"/>
        <v>65487</v>
      </c>
      <c r="E68" s="1" t="s">
        <v>41</v>
      </c>
      <c r="F68" s="1" t="s">
        <v>51</v>
      </c>
      <c r="G68" s="1" t="s">
        <v>56</v>
      </c>
      <c r="H68" s="30"/>
      <c r="I68" s="30"/>
      <c r="J68" s="31"/>
      <c r="K68" s="30"/>
    </row>
    <row r="69">
      <c r="A69" s="2">
        <v>679.0</v>
      </c>
      <c r="B69" s="15">
        <f>SUM('679'!B:B)</f>
        <v>460</v>
      </c>
      <c r="C69" s="22">
        <v>20.9</v>
      </c>
      <c r="D69" s="9">
        <f t="shared" si="1"/>
        <v>9614</v>
      </c>
      <c r="E69" s="1" t="s">
        <v>13</v>
      </c>
      <c r="F69" s="1" t="s">
        <v>61</v>
      </c>
      <c r="G69" s="1" t="s">
        <v>56</v>
      </c>
      <c r="H69" s="30"/>
      <c r="I69" s="30"/>
      <c r="J69" s="31"/>
      <c r="K69" s="30"/>
    </row>
    <row r="70">
      <c r="A70" s="2">
        <v>663.0</v>
      </c>
      <c r="B70" s="7">
        <f>SUM('663'!B:B)</f>
        <v>440</v>
      </c>
      <c r="C70" s="22">
        <v>20.9</v>
      </c>
      <c r="D70" s="9">
        <f t="shared" si="1"/>
        <v>9196</v>
      </c>
      <c r="E70" s="1" t="s">
        <v>13</v>
      </c>
      <c r="F70" s="1" t="s">
        <v>61</v>
      </c>
      <c r="G70" s="1" t="s">
        <v>56</v>
      </c>
      <c r="H70" s="30"/>
      <c r="I70" s="30"/>
      <c r="J70" s="31"/>
      <c r="K70" s="30"/>
    </row>
    <row r="71">
      <c r="A71" s="2">
        <v>628.0</v>
      </c>
      <c r="B71" s="21">
        <f>SUM('628'!B:B)</f>
        <v>426</v>
      </c>
      <c r="C71" s="4">
        <v>40.3</v>
      </c>
      <c r="D71" s="9">
        <f t="shared" si="1"/>
        <v>17167.8</v>
      </c>
      <c r="E71" s="1" t="s">
        <v>13</v>
      </c>
      <c r="F71" s="1" t="s">
        <v>61</v>
      </c>
      <c r="G71" s="1" t="s">
        <v>52</v>
      </c>
      <c r="H71" s="30"/>
      <c r="I71" s="30"/>
      <c r="J71" s="31"/>
      <c r="K71" s="30"/>
    </row>
    <row r="72">
      <c r="A72" s="2">
        <v>675.0</v>
      </c>
      <c r="B72" s="15">
        <f>SUM('675'!B:B)</f>
        <v>423</v>
      </c>
      <c r="C72" s="22">
        <v>18.1</v>
      </c>
      <c r="D72" s="9">
        <f t="shared" si="1"/>
        <v>7656.3</v>
      </c>
      <c r="E72" s="1" t="s">
        <v>13</v>
      </c>
      <c r="F72" s="1" t="s">
        <v>61</v>
      </c>
      <c r="G72" s="1" t="s">
        <v>52</v>
      </c>
      <c r="H72" s="30"/>
      <c r="I72" s="30"/>
      <c r="J72" s="31"/>
      <c r="K72" s="30"/>
    </row>
    <row r="73">
      <c r="A73" s="2">
        <v>664.0</v>
      </c>
      <c r="B73" s="7">
        <f>SUM('664'!B:B)</f>
        <v>379</v>
      </c>
      <c r="C73" s="22">
        <v>23.0</v>
      </c>
      <c r="D73" s="9">
        <f t="shared" si="1"/>
        <v>8717</v>
      </c>
      <c r="E73" s="1" t="s">
        <v>13</v>
      </c>
      <c r="F73" s="1" t="s">
        <v>61</v>
      </c>
      <c r="G73" s="1" t="s">
        <v>52</v>
      </c>
      <c r="H73" s="30"/>
      <c r="I73" s="30"/>
      <c r="J73" s="31"/>
      <c r="K73" s="30"/>
    </row>
    <row r="74" hidden="1">
      <c r="A74" s="2">
        <v>681.0</v>
      </c>
      <c r="B74" s="15">
        <f>SUM('681'!B:B)</f>
        <v>10</v>
      </c>
      <c r="C74" s="22">
        <v>86.0</v>
      </c>
      <c r="D74" s="9">
        <f t="shared" si="1"/>
        <v>860</v>
      </c>
      <c r="E74" s="1" t="s">
        <v>41</v>
      </c>
      <c r="F74" s="1" t="s">
        <v>51</v>
      </c>
      <c r="G74" s="1" t="s">
        <v>56</v>
      </c>
      <c r="H74" s="30"/>
      <c r="I74" s="30"/>
      <c r="J74" s="31"/>
      <c r="K74" s="30"/>
    </row>
    <row r="75" hidden="1">
      <c r="A75" s="2">
        <v>682.0</v>
      </c>
      <c r="B75" s="21">
        <f>SUM('682'!B:B)</f>
        <v>55</v>
      </c>
      <c r="C75" s="22">
        <v>96.9</v>
      </c>
      <c r="D75" s="9">
        <f t="shared" si="1"/>
        <v>5329.5</v>
      </c>
      <c r="E75" s="1" t="s">
        <v>41</v>
      </c>
      <c r="F75" s="1" t="s">
        <v>51</v>
      </c>
      <c r="G75" s="1" t="s">
        <v>56</v>
      </c>
      <c r="H75" s="30"/>
      <c r="I75" s="30"/>
      <c r="J75" s="31"/>
      <c r="K75" s="30"/>
    </row>
    <row r="76">
      <c r="A76" s="2">
        <v>616.0</v>
      </c>
      <c r="B76" s="21">
        <f>SUM('616'!B:B)</f>
        <v>350</v>
      </c>
      <c r="C76" s="4">
        <v>27.1</v>
      </c>
      <c r="D76" s="9">
        <f t="shared" si="1"/>
        <v>9485</v>
      </c>
      <c r="E76" s="1" t="s">
        <v>13</v>
      </c>
      <c r="F76" s="1" t="s">
        <v>61</v>
      </c>
      <c r="G76" s="1" t="s">
        <v>56</v>
      </c>
      <c r="H76" s="30"/>
      <c r="I76" s="30"/>
      <c r="J76" s="31"/>
      <c r="K76" s="30"/>
    </row>
    <row r="77">
      <c r="A77" s="2">
        <v>667.0</v>
      </c>
      <c r="B77" s="7">
        <f>SUM('667'!B:B)</f>
        <v>250</v>
      </c>
      <c r="C77" s="22">
        <v>19.1</v>
      </c>
      <c r="D77" s="9">
        <f t="shared" si="1"/>
        <v>4775</v>
      </c>
      <c r="E77" s="1" t="s">
        <v>13</v>
      </c>
      <c r="F77" s="1" t="s">
        <v>61</v>
      </c>
      <c r="G77" s="1" t="s">
        <v>52</v>
      </c>
      <c r="H77" s="30"/>
      <c r="I77" s="30"/>
      <c r="J77" s="31"/>
      <c r="K77" s="30"/>
    </row>
    <row r="78" hidden="1">
      <c r="A78" s="2">
        <v>686.0</v>
      </c>
      <c r="B78" s="15">
        <f>SUM('686'!B:B)</f>
        <v>1820</v>
      </c>
      <c r="C78" s="3">
        <v>97.2</v>
      </c>
      <c r="D78" s="9">
        <f t="shared" si="1"/>
        <v>176904</v>
      </c>
      <c r="E78" s="1" t="s">
        <v>41</v>
      </c>
      <c r="F78" s="1" t="s">
        <v>51</v>
      </c>
      <c r="G78" s="1" t="s">
        <v>56</v>
      </c>
      <c r="H78" s="30"/>
      <c r="I78" s="30"/>
      <c r="J78" s="31"/>
      <c r="K78" s="30"/>
    </row>
    <row r="79" hidden="1">
      <c r="A79" s="2">
        <v>689.0</v>
      </c>
      <c r="B79" s="7">
        <f>SUM('689'!B:B)</f>
        <v>110</v>
      </c>
      <c r="C79" s="3">
        <v>89.8</v>
      </c>
      <c r="D79" s="9">
        <f t="shared" si="1"/>
        <v>9878</v>
      </c>
      <c r="E79" s="1" t="s">
        <v>41</v>
      </c>
      <c r="F79" s="1" t="s">
        <v>51</v>
      </c>
      <c r="G79" s="1" t="s">
        <v>56</v>
      </c>
      <c r="H79" s="30"/>
      <c r="I79" s="30"/>
      <c r="J79" s="31"/>
      <c r="K79" s="30"/>
    </row>
    <row r="80">
      <c r="A80" s="2">
        <v>645.0</v>
      </c>
      <c r="B80" s="21">
        <f>SUM('645'!B:B)</f>
        <v>220</v>
      </c>
      <c r="C80" s="22">
        <v>23.8</v>
      </c>
      <c r="D80" s="9">
        <f t="shared" si="1"/>
        <v>5236</v>
      </c>
      <c r="E80" s="1" t="s">
        <v>13</v>
      </c>
      <c r="F80" s="1" t="s">
        <v>61</v>
      </c>
      <c r="G80" s="1" t="s">
        <v>52</v>
      </c>
      <c r="H80" s="30"/>
      <c r="I80" s="30"/>
      <c r="J80" s="31"/>
      <c r="K80" s="30"/>
    </row>
    <row r="81">
      <c r="A81" s="2">
        <v>606.0</v>
      </c>
      <c r="B81" s="21">
        <f>SUM('606'!B:B)</f>
        <v>200</v>
      </c>
      <c r="C81" s="4">
        <v>29.8</v>
      </c>
      <c r="D81" s="9">
        <f t="shared" si="1"/>
        <v>5960</v>
      </c>
      <c r="E81" s="1" t="s">
        <v>13</v>
      </c>
      <c r="F81" s="1" t="s">
        <v>61</v>
      </c>
      <c r="G81" s="1" t="s">
        <v>52</v>
      </c>
      <c r="H81" s="30"/>
      <c r="I81" s="30"/>
      <c r="J81" s="31"/>
      <c r="K81" s="30"/>
    </row>
    <row r="82" hidden="1">
      <c r="A82" s="2">
        <v>716.0</v>
      </c>
      <c r="B82" s="15">
        <f>SUM('716'!B:B)</f>
        <v>2555</v>
      </c>
      <c r="C82" s="22">
        <v>21.6</v>
      </c>
      <c r="D82" s="9">
        <f t="shared" si="1"/>
        <v>55188</v>
      </c>
      <c r="E82" s="1" t="s">
        <v>55</v>
      </c>
      <c r="F82" s="1" t="s">
        <v>51</v>
      </c>
      <c r="G82" s="1" t="s">
        <v>52</v>
      </c>
      <c r="H82" s="30"/>
      <c r="I82" s="30"/>
      <c r="J82" s="31"/>
      <c r="K82" s="30"/>
    </row>
    <row r="83" hidden="1">
      <c r="A83" s="2">
        <v>718.0</v>
      </c>
      <c r="B83" s="15">
        <f>SUM('718'!B:B)</f>
        <v>620</v>
      </c>
      <c r="C83" s="22">
        <v>93.7</v>
      </c>
      <c r="D83" s="9">
        <f t="shared" si="1"/>
        <v>58094</v>
      </c>
      <c r="E83" s="1" t="s">
        <v>41</v>
      </c>
      <c r="F83" s="1" t="s">
        <v>51</v>
      </c>
      <c r="G83" s="1" t="s">
        <v>56</v>
      </c>
      <c r="H83" s="30"/>
      <c r="I83" s="30"/>
      <c r="J83" s="31"/>
      <c r="K83" s="30"/>
    </row>
    <row r="84">
      <c r="A84" s="2">
        <v>607.0</v>
      </c>
      <c r="B84" s="21">
        <f>SUM('607'!B:B)</f>
        <v>175</v>
      </c>
      <c r="C84" s="1">
        <v>14.9</v>
      </c>
      <c r="D84" s="9">
        <f t="shared" si="1"/>
        <v>2607.5</v>
      </c>
      <c r="E84" s="1" t="s">
        <v>13</v>
      </c>
      <c r="F84" s="1" t="s">
        <v>61</v>
      </c>
      <c r="G84" s="1" t="s">
        <v>52</v>
      </c>
      <c r="H84" s="30"/>
      <c r="I84" s="30"/>
      <c r="J84" s="31"/>
      <c r="K84" s="30"/>
    </row>
    <row r="85">
      <c r="A85" s="2">
        <v>448.0</v>
      </c>
      <c r="B85" s="7">
        <f>SUM('448'!B:B)</f>
        <v>132</v>
      </c>
      <c r="C85" s="4">
        <v>31.5</v>
      </c>
      <c r="D85" s="9">
        <f t="shared" si="1"/>
        <v>4158</v>
      </c>
      <c r="E85" s="1" t="s">
        <v>13</v>
      </c>
      <c r="F85" s="1" t="s">
        <v>61</v>
      </c>
      <c r="G85" s="1" t="s">
        <v>56</v>
      </c>
      <c r="H85" s="30"/>
      <c r="I85" s="30"/>
      <c r="J85" s="31"/>
      <c r="K85" s="30"/>
    </row>
    <row r="86" hidden="1">
      <c r="A86" s="2">
        <v>723.0</v>
      </c>
      <c r="B86" s="15">
        <f>SUM('723'!B:B)</f>
        <v>280</v>
      </c>
      <c r="C86" s="22">
        <v>79.5</v>
      </c>
      <c r="D86" s="9">
        <f t="shared" si="1"/>
        <v>22260</v>
      </c>
      <c r="E86" s="1" t="s">
        <v>41</v>
      </c>
      <c r="F86" s="1" t="s">
        <v>51</v>
      </c>
      <c r="G86" s="1" t="s">
        <v>56</v>
      </c>
      <c r="H86" s="30"/>
      <c r="I86" s="30"/>
      <c r="J86" s="31"/>
      <c r="K86" s="30"/>
    </row>
    <row r="87">
      <c r="A87" s="2">
        <v>362.0</v>
      </c>
      <c r="B87" s="7">
        <f>SUM('362'!B:B)</f>
        <v>108</v>
      </c>
      <c r="C87" s="4">
        <v>20.8</v>
      </c>
      <c r="D87" s="9">
        <f t="shared" si="1"/>
        <v>2246.4</v>
      </c>
      <c r="E87" s="1" t="s">
        <v>13</v>
      </c>
      <c r="F87" s="1" t="s">
        <v>61</v>
      </c>
      <c r="G87" s="1" t="s">
        <v>52</v>
      </c>
      <c r="H87" s="30"/>
      <c r="I87" s="30"/>
      <c r="J87" s="31"/>
      <c r="K87" s="30"/>
    </row>
    <row r="88" hidden="1">
      <c r="A88" s="2">
        <v>729.0</v>
      </c>
      <c r="B88" s="15">
        <f>SUM('729'!B:B)</f>
        <v>120</v>
      </c>
      <c r="C88" s="22">
        <v>25.7</v>
      </c>
      <c r="D88" s="9">
        <f t="shared" si="1"/>
        <v>3084</v>
      </c>
      <c r="E88" s="1" t="s">
        <v>13</v>
      </c>
      <c r="F88" s="1" t="s">
        <v>51</v>
      </c>
      <c r="G88" s="1" t="s">
        <v>52</v>
      </c>
      <c r="H88" s="30"/>
      <c r="I88" s="30"/>
      <c r="J88" s="31"/>
      <c r="K88" s="30"/>
    </row>
    <row r="89">
      <c r="A89" s="2">
        <v>703.0</v>
      </c>
      <c r="B89" s="15">
        <f>SUM('703'!B:B)</f>
        <v>118</v>
      </c>
      <c r="C89" s="22">
        <v>17.3</v>
      </c>
      <c r="D89" s="9">
        <f t="shared" si="1"/>
        <v>2041.4</v>
      </c>
      <c r="E89" s="1" t="s">
        <v>13</v>
      </c>
      <c r="F89" s="1" t="s">
        <v>61</v>
      </c>
      <c r="G89" s="1" t="s">
        <v>56</v>
      </c>
      <c r="H89" s="30"/>
      <c r="I89" s="30"/>
      <c r="J89" s="31"/>
      <c r="K89" s="30"/>
    </row>
    <row r="90">
      <c r="A90" s="2">
        <v>545.0</v>
      </c>
      <c r="B90" s="21">
        <f>SUM('545'!B:B)</f>
        <v>110</v>
      </c>
      <c r="C90" s="4">
        <v>45.2</v>
      </c>
      <c r="D90" s="9">
        <f t="shared" si="1"/>
        <v>4972</v>
      </c>
      <c r="E90" s="1" t="s">
        <v>13</v>
      </c>
      <c r="F90" s="1" t="s">
        <v>61</v>
      </c>
      <c r="G90" s="1" t="s">
        <v>56</v>
      </c>
      <c r="H90" s="30"/>
      <c r="I90" s="30"/>
      <c r="J90" s="31"/>
      <c r="K90" s="30"/>
    </row>
    <row r="91">
      <c r="A91" s="2">
        <v>721.0</v>
      </c>
      <c r="B91" s="15">
        <f>SUM('721'!B:B)</f>
        <v>94</v>
      </c>
      <c r="C91" s="22">
        <v>23.3</v>
      </c>
      <c r="D91" s="9">
        <f t="shared" si="1"/>
        <v>2190.2</v>
      </c>
      <c r="E91" s="1" t="s">
        <v>13</v>
      </c>
      <c r="F91" s="1" t="s">
        <v>61</v>
      </c>
      <c r="G91" s="1" t="s">
        <v>52</v>
      </c>
      <c r="H91" s="30"/>
      <c r="I91" s="30"/>
      <c r="J91" s="31"/>
      <c r="K91" s="30"/>
    </row>
    <row r="92" hidden="1">
      <c r="A92" s="2">
        <v>745.0</v>
      </c>
      <c r="B92" s="15">
        <f>SUM('745'!B:B)</f>
        <v>120</v>
      </c>
      <c r="C92" s="22">
        <v>499.0</v>
      </c>
      <c r="D92" s="9">
        <f t="shared" si="1"/>
        <v>59880</v>
      </c>
      <c r="E92" s="1" t="s">
        <v>41</v>
      </c>
      <c r="F92" s="1" t="s">
        <v>51</v>
      </c>
      <c r="G92" s="1" t="s">
        <v>52</v>
      </c>
      <c r="H92" s="30"/>
      <c r="I92" s="30"/>
      <c r="J92" s="31"/>
      <c r="K92" s="30"/>
    </row>
    <row r="93" hidden="1">
      <c r="A93" s="2">
        <v>14009.0</v>
      </c>
      <c r="B93" s="11">
        <f>SUM('416'!B:B,'416'!E:E)</f>
        <v>750</v>
      </c>
      <c r="C93" s="4">
        <v>67.9</v>
      </c>
      <c r="D93" s="9">
        <f t="shared" si="1"/>
        <v>50925</v>
      </c>
      <c r="E93" s="1" t="s">
        <v>41</v>
      </c>
      <c r="F93" s="1" t="s">
        <v>51</v>
      </c>
      <c r="G93" s="1" t="s">
        <v>56</v>
      </c>
      <c r="H93" s="30"/>
      <c r="I93" s="30"/>
      <c r="J93" s="31"/>
      <c r="K93" s="30"/>
    </row>
    <row r="94" hidden="1">
      <c r="A94" s="2" t="s">
        <v>59</v>
      </c>
      <c r="B94" s="7" t="str">
        <f>SUM(B2:B93)</f>
        <v>#REF!</v>
      </c>
      <c r="C94" s="25"/>
      <c r="D94" s="7" t="str">
        <f>SUM(D2:D93)</f>
        <v>#REF!</v>
      </c>
      <c r="H94" s="30"/>
      <c r="I94" s="30"/>
      <c r="J94" s="31"/>
      <c r="K94" s="30"/>
    </row>
    <row r="95">
      <c r="H95" s="30"/>
      <c r="I95" s="30"/>
      <c r="J95" s="31"/>
      <c r="K95" s="30"/>
    </row>
    <row r="96">
      <c r="H96" s="30"/>
      <c r="I96" s="30"/>
      <c r="J96" s="31"/>
      <c r="K96" s="30"/>
    </row>
    <row r="97">
      <c r="H97" s="30"/>
      <c r="I97" s="30"/>
      <c r="J97" s="31"/>
      <c r="K97" s="30"/>
    </row>
    <row r="98">
      <c r="H98" s="30"/>
      <c r="I98" s="30"/>
      <c r="J98" s="31"/>
      <c r="K98" s="30"/>
    </row>
    <row r="99">
      <c r="H99" s="30"/>
      <c r="I99" s="30"/>
      <c r="J99" s="31"/>
      <c r="K99" s="30"/>
    </row>
    <row r="100">
      <c r="H100" s="30"/>
      <c r="I100" s="30"/>
      <c r="J100" s="31"/>
      <c r="K100" s="30"/>
    </row>
    <row r="101">
      <c r="H101" s="30"/>
      <c r="I101" s="30"/>
      <c r="J101" s="31"/>
      <c r="K101" s="30"/>
    </row>
    <row r="102">
      <c r="H102" s="30"/>
      <c r="I102" s="30"/>
      <c r="J102" s="31"/>
      <c r="K102" s="30"/>
    </row>
    <row r="103">
      <c r="H103" s="30"/>
      <c r="I103" s="30"/>
      <c r="J103" s="31"/>
      <c r="K103" s="30"/>
    </row>
    <row r="104">
      <c r="H104" s="30"/>
      <c r="I104" s="30"/>
      <c r="J104" s="31"/>
      <c r="K104" s="30"/>
    </row>
    <row r="105">
      <c r="H105" s="30"/>
      <c r="I105" s="30"/>
      <c r="J105" s="31"/>
      <c r="K105" s="30"/>
    </row>
    <row r="106">
      <c r="H106" s="30"/>
      <c r="I106" s="30"/>
      <c r="J106" s="31"/>
      <c r="K106" s="30"/>
    </row>
    <row r="107">
      <c r="H107" s="30"/>
      <c r="I107" s="30"/>
      <c r="J107" s="31"/>
      <c r="K107" s="30"/>
    </row>
    <row r="108">
      <c r="H108" s="30"/>
      <c r="I108" s="30"/>
      <c r="J108" s="31"/>
      <c r="K108" s="30"/>
    </row>
    <row r="109">
      <c r="H109" s="30"/>
      <c r="I109" s="30"/>
      <c r="J109" s="31"/>
      <c r="K109" s="30"/>
    </row>
    <row r="110">
      <c r="H110" s="30"/>
      <c r="I110" s="30"/>
      <c r="J110" s="31"/>
      <c r="K110" s="30"/>
    </row>
    <row r="111">
      <c r="A111" s="37"/>
      <c r="H111" s="30"/>
      <c r="I111" s="30"/>
      <c r="J111" s="31"/>
      <c r="K111" s="30"/>
    </row>
    <row r="112">
      <c r="A112" s="37"/>
      <c r="B112" s="7"/>
      <c r="H112" s="30"/>
      <c r="I112" s="30"/>
      <c r="J112" s="31"/>
      <c r="K112" s="30"/>
    </row>
    <row r="113">
      <c r="A113" s="37"/>
      <c r="B113" s="7"/>
      <c r="H113" s="30"/>
      <c r="I113" s="30"/>
      <c r="J113" s="31"/>
      <c r="K113" s="30"/>
    </row>
    <row r="114">
      <c r="A114" s="37"/>
      <c r="B114" s="7"/>
      <c r="H114" s="30"/>
      <c r="I114" s="30"/>
      <c r="J114" s="31"/>
      <c r="K114" s="30"/>
    </row>
    <row r="115">
      <c r="A115" s="37"/>
      <c r="B115" s="7"/>
      <c r="H115" s="30"/>
      <c r="I115" s="30"/>
      <c r="J115" s="31"/>
      <c r="K115" s="30"/>
    </row>
    <row r="116">
      <c r="A116" s="37"/>
      <c r="B116" s="7"/>
      <c r="H116" s="30"/>
      <c r="I116" s="30"/>
      <c r="J116" s="31"/>
      <c r="K116" s="30"/>
    </row>
    <row r="117">
      <c r="A117" s="37"/>
      <c r="B117" s="7"/>
      <c r="H117" s="30"/>
      <c r="I117" s="30"/>
      <c r="J117" s="31"/>
      <c r="K117" s="30"/>
    </row>
    <row r="118">
      <c r="A118" s="37"/>
      <c r="B118" s="7"/>
      <c r="H118" s="30"/>
      <c r="I118" s="30"/>
      <c r="J118" s="31"/>
      <c r="K118" s="30"/>
    </row>
    <row r="119">
      <c r="A119" s="37"/>
      <c r="B119" s="7"/>
      <c r="H119" s="30"/>
      <c r="I119" s="30"/>
      <c r="J119" s="31"/>
      <c r="K119" s="30"/>
    </row>
    <row r="120">
      <c r="A120" s="2"/>
      <c r="B120" s="7"/>
      <c r="C120" s="25"/>
      <c r="D120" s="9"/>
      <c r="H120" s="30"/>
      <c r="I120" s="30"/>
      <c r="J120" s="31"/>
      <c r="K120" s="30"/>
    </row>
    <row r="121">
      <c r="A121" s="2"/>
      <c r="B121" s="7"/>
      <c r="C121" s="25"/>
      <c r="D121" s="9"/>
      <c r="H121" s="30"/>
      <c r="I121" s="30"/>
      <c r="J121" s="31"/>
      <c r="K121" s="30"/>
    </row>
    <row r="122">
      <c r="A122" s="2"/>
      <c r="B122" s="7"/>
      <c r="C122" s="25"/>
      <c r="D122" s="9"/>
      <c r="H122" s="30"/>
      <c r="I122" s="30"/>
      <c r="J122" s="31"/>
      <c r="K122" s="30"/>
    </row>
    <row r="123">
      <c r="A123" s="2"/>
      <c r="B123" s="7"/>
      <c r="C123" s="25"/>
      <c r="D123" s="9"/>
      <c r="H123" s="30"/>
      <c r="I123" s="30"/>
      <c r="J123" s="31"/>
      <c r="K123" s="30"/>
    </row>
    <row r="124">
      <c r="A124" s="38"/>
      <c r="B124" s="7"/>
      <c r="C124" s="25"/>
      <c r="D124" s="9"/>
      <c r="H124" s="30"/>
      <c r="I124" s="30"/>
      <c r="J124" s="31"/>
      <c r="K124" s="30"/>
    </row>
    <row r="125">
      <c r="A125" s="38"/>
      <c r="B125" s="7"/>
      <c r="C125" s="25"/>
      <c r="D125" s="9"/>
      <c r="H125" s="30"/>
      <c r="I125" s="30"/>
      <c r="J125" s="31"/>
      <c r="K125" s="30"/>
    </row>
    <row r="126">
      <c r="A126" s="38"/>
      <c r="B126" s="7"/>
      <c r="C126" s="25"/>
      <c r="D126" s="9"/>
      <c r="H126" s="30"/>
      <c r="I126" s="30"/>
      <c r="J126" s="31"/>
      <c r="K126" s="30"/>
    </row>
    <row r="127">
      <c r="A127" s="38"/>
      <c r="B127" s="7"/>
      <c r="C127" s="25"/>
      <c r="D127" s="9"/>
      <c r="H127" s="30"/>
      <c r="I127" s="30"/>
      <c r="J127" s="31"/>
      <c r="K127" s="30"/>
    </row>
    <row r="128">
      <c r="A128" s="38"/>
      <c r="B128" s="7"/>
      <c r="C128" s="25"/>
      <c r="D128" s="9"/>
      <c r="H128" s="30"/>
      <c r="I128" s="30"/>
      <c r="J128" s="31"/>
      <c r="K128" s="30"/>
    </row>
    <row r="129">
      <c r="A129" s="2"/>
      <c r="B129" s="7"/>
      <c r="C129" s="25"/>
      <c r="D129" s="9"/>
      <c r="H129" s="30"/>
      <c r="I129" s="30"/>
      <c r="J129" s="31"/>
      <c r="K129" s="30"/>
    </row>
    <row r="130">
      <c r="A130" s="2"/>
      <c r="B130" s="7"/>
      <c r="C130" s="25"/>
      <c r="D130" s="9"/>
      <c r="H130" s="30"/>
      <c r="I130" s="30"/>
      <c r="J130" s="31"/>
      <c r="K130" s="30"/>
    </row>
    <row r="131">
      <c r="A131" s="2"/>
      <c r="B131" s="7"/>
      <c r="C131" s="25"/>
      <c r="D131" s="9"/>
      <c r="H131" s="30"/>
      <c r="I131" s="30"/>
      <c r="J131" s="31"/>
      <c r="K131" s="30"/>
    </row>
    <row r="132">
      <c r="A132" s="2"/>
      <c r="B132" s="7"/>
      <c r="C132" s="25"/>
      <c r="D132" s="9"/>
      <c r="H132" s="30"/>
      <c r="I132" s="30"/>
      <c r="J132" s="31"/>
      <c r="K132" s="30"/>
    </row>
    <row r="133">
      <c r="A133" s="37"/>
      <c r="B133" s="7"/>
      <c r="C133" s="25"/>
      <c r="D133" s="9"/>
      <c r="H133" s="30"/>
      <c r="I133" s="30"/>
      <c r="J133" s="31"/>
      <c r="K133" s="30"/>
    </row>
    <row r="134">
      <c r="A134" s="37"/>
      <c r="B134" s="7"/>
      <c r="C134" s="25"/>
      <c r="D134" s="9"/>
      <c r="H134" s="30"/>
      <c r="I134" s="30"/>
      <c r="J134" s="31"/>
      <c r="K134" s="30"/>
    </row>
    <row r="135">
      <c r="A135" s="37"/>
      <c r="B135" s="7"/>
      <c r="C135" s="25"/>
      <c r="D135" s="9"/>
      <c r="H135" s="30"/>
      <c r="I135" s="30"/>
      <c r="J135" s="31"/>
      <c r="K135" s="30"/>
    </row>
    <row r="136">
      <c r="A136" s="37"/>
      <c r="B136" s="7"/>
      <c r="C136" s="25"/>
      <c r="D136" s="9"/>
      <c r="H136" s="30"/>
      <c r="I136" s="30"/>
      <c r="J136" s="31"/>
      <c r="K136" s="30"/>
    </row>
    <row r="137">
      <c r="A137" s="37"/>
      <c r="B137" s="7"/>
      <c r="C137" s="25"/>
      <c r="D137" s="9"/>
      <c r="H137" s="30"/>
      <c r="I137" s="30"/>
      <c r="J137" s="31"/>
      <c r="K137" s="30"/>
    </row>
    <row r="138">
      <c r="A138" s="37"/>
      <c r="B138" s="7"/>
      <c r="C138" s="25"/>
      <c r="D138" s="9"/>
      <c r="H138" s="30"/>
      <c r="I138" s="30"/>
      <c r="J138" s="31"/>
      <c r="K138" s="30"/>
    </row>
    <row r="139">
      <c r="A139" s="37"/>
      <c r="B139" s="7"/>
      <c r="C139" s="25"/>
      <c r="D139" s="9"/>
      <c r="H139" s="30"/>
      <c r="I139" s="30"/>
      <c r="J139" s="31"/>
      <c r="K139" s="30"/>
    </row>
    <row r="140">
      <c r="A140" s="37"/>
      <c r="B140" s="7"/>
      <c r="C140" s="25"/>
      <c r="D140" s="9"/>
      <c r="H140" s="30"/>
      <c r="I140" s="30"/>
      <c r="J140" s="31"/>
      <c r="K140" s="30"/>
    </row>
    <row r="141">
      <c r="A141" s="37"/>
      <c r="B141" s="7"/>
      <c r="C141" s="25"/>
      <c r="D141" s="9"/>
      <c r="H141" s="30"/>
      <c r="I141" s="30"/>
      <c r="J141" s="31"/>
      <c r="K141" s="30"/>
    </row>
    <row r="142">
      <c r="A142" s="37"/>
      <c r="B142" s="7"/>
      <c r="C142" s="25"/>
      <c r="D142" s="9"/>
      <c r="H142" s="30"/>
      <c r="I142" s="30"/>
      <c r="J142" s="31"/>
      <c r="K142" s="30"/>
    </row>
    <row r="143">
      <c r="A143" s="37"/>
      <c r="B143" s="7"/>
      <c r="C143" s="25"/>
      <c r="D143" s="9"/>
      <c r="H143" s="30"/>
      <c r="I143" s="30"/>
      <c r="J143" s="31"/>
      <c r="K143" s="30"/>
    </row>
    <row r="144">
      <c r="A144" s="37"/>
      <c r="B144" s="7"/>
      <c r="C144" s="25"/>
      <c r="D144" s="9"/>
      <c r="H144" s="30"/>
      <c r="I144" s="30"/>
      <c r="J144" s="31"/>
      <c r="K144" s="30"/>
    </row>
    <row r="145">
      <c r="A145" s="37"/>
      <c r="B145" s="7"/>
      <c r="C145" s="25"/>
      <c r="D145" s="9"/>
      <c r="H145" s="30"/>
      <c r="I145" s="30"/>
      <c r="J145" s="31"/>
      <c r="K145" s="30"/>
    </row>
    <row r="146">
      <c r="A146" s="37"/>
      <c r="B146" s="7"/>
      <c r="C146" s="25"/>
      <c r="D146" s="9"/>
      <c r="H146" s="30"/>
      <c r="I146" s="30"/>
      <c r="J146" s="31"/>
      <c r="K146" s="30"/>
    </row>
    <row r="147">
      <c r="A147" s="37"/>
      <c r="B147" s="7"/>
      <c r="C147" s="25"/>
      <c r="D147" s="9"/>
      <c r="H147" s="30"/>
      <c r="I147" s="30"/>
      <c r="J147" s="31"/>
      <c r="K147" s="30"/>
    </row>
    <row r="148">
      <c r="A148" s="37"/>
      <c r="B148" s="7"/>
      <c r="C148" s="25"/>
      <c r="D148" s="9"/>
      <c r="H148" s="30"/>
      <c r="I148" s="30"/>
      <c r="J148" s="31"/>
      <c r="K148" s="30"/>
    </row>
    <row r="149">
      <c r="A149" s="37"/>
      <c r="B149" s="7"/>
      <c r="C149" s="25"/>
      <c r="D149" s="9"/>
      <c r="H149" s="30"/>
      <c r="I149" s="30"/>
      <c r="J149" s="31"/>
      <c r="K149" s="30"/>
    </row>
    <row r="150">
      <c r="A150" s="37"/>
      <c r="B150" s="7"/>
      <c r="C150" s="25"/>
      <c r="D150" s="9"/>
      <c r="H150" s="30"/>
      <c r="I150" s="30"/>
      <c r="J150" s="31"/>
      <c r="K150" s="30"/>
    </row>
    <row r="151">
      <c r="A151" s="37"/>
      <c r="B151" s="7"/>
      <c r="C151" s="25"/>
      <c r="D151" s="9"/>
      <c r="H151" s="30"/>
      <c r="I151" s="30"/>
      <c r="J151" s="31"/>
      <c r="K151" s="30"/>
    </row>
    <row r="152">
      <c r="A152" s="37"/>
      <c r="B152" s="7"/>
      <c r="C152" s="25"/>
      <c r="D152" s="9"/>
      <c r="H152" s="30"/>
      <c r="I152" s="30"/>
      <c r="J152" s="31"/>
      <c r="K152" s="30"/>
    </row>
    <row r="153">
      <c r="A153" s="37"/>
      <c r="B153" s="7"/>
      <c r="C153" s="25"/>
      <c r="D153" s="9"/>
      <c r="H153" s="30"/>
      <c r="I153" s="30"/>
      <c r="J153" s="31"/>
      <c r="K153" s="30"/>
    </row>
    <row r="154">
      <c r="A154" s="37"/>
      <c r="B154" s="7"/>
      <c r="C154" s="25"/>
      <c r="D154" s="9"/>
      <c r="H154" s="30"/>
      <c r="I154" s="30"/>
      <c r="J154" s="31"/>
      <c r="K154" s="30"/>
    </row>
    <row r="155">
      <c r="A155" s="37"/>
      <c r="B155" s="7"/>
      <c r="C155" s="25"/>
      <c r="D155" s="9"/>
      <c r="H155" s="30"/>
      <c r="I155" s="30"/>
      <c r="J155" s="31"/>
      <c r="K155" s="30"/>
    </row>
    <row r="156">
      <c r="A156" s="37"/>
      <c r="B156" s="7"/>
      <c r="C156" s="25"/>
      <c r="D156" s="9"/>
      <c r="H156" s="30"/>
      <c r="I156" s="30"/>
      <c r="J156" s="31"/>
      <c r="K156" s="30"/>
    </row>
    <row r="157">
      <c r="A157" s="37"/>
      <c r="B157" s="7"/>
      <c r="C157" s="25"/>
      <c r="D157" s="9"/>
      <c r="H157" s="30"/>
      <c r="I157" s="30"/>
      <c r="J157" s="31"/>
      <c r="K157" s="30"/>
    </row>
    <row r="158">
      <c r="A158" s="37"/>
      <c r="B158" s="7"/>
      <c r="C158" s="25"/>
      <c r="D158" s="9"/>
      <c r="H158" s="30"/>
      <c r="I158" s="30"/>
      <c r="J158" s="31"/>
      <c r="K158" s="30"/>
    </row>
    <row r="159">
      <c r="A159" s="37"/>
      <c r="B159" s="7"/>
      <c r="C159" s="25"/>
      <c r="D159" s="9"/>
      <c r="H159" s="30"/>
      <c r="I159" s="30"/>
      <c r="J159" s="31"/>
      <c r="K159" s="30"/>
    </row>
    <row r="160">
      <c r="A160" s="37"/>
      <c r="B160" s="7"/>
      <c r="C160" s="25"/>
      <c r="D160" s="9"/>
      <c r="H160" s="30"/>
      <c r="I160" s="30"/>
      <c r="J160" s="31"/>
      <c r="K160" s="30"/>
    </row>
    <row r="161">
      <c r="A161" s="37"/>
      <c r="B161" s="7"/>
      <c r="C161" s="25"/>
      <c r="D161" s="9"/>
      <c r="H161" s="30"/>
      <c r="I161" s="30"/>
      <c r="J161" s="31"/>
      <c r="K161" s="30"/>
    </row>
    <row r="162">
      <c r="A162" s="37"/>
      <c r="B162" s="7"/>
      <c r="C162" s="25"/>
      <c r="D162" s="9"/>
      <c r="H162" s="30"/>
      <c r="I162" s="30"/>
      <c r="J162" s="31"/>
      <c r="K162" s="30"/>
    </row>
    <row r="163">
      <c r="A163" s="37"/>
      <c r="B163" s="7"/>
      <c r="C163" s="25"/>
      <c r="D163" s="9"/>
      <c r="H163" s="30"/>
      <c r="I163" s="30"/>
      <c r="J163" s="31"/>
      <c r="K163" s="30"/>
    </row>
    <row r="164">
      <c r="A164" s="37"/>
      <c r="B164" s="7"/>
      <c r="C164" s="25"/>
      <c r="D164" s="9"/>
      <c r="H164" s="30"/>
      <c r="I164" s="30"/>
      <c r="J164" s="31"/>
      <c r="K164" s="30"/>
    </row>
    <row r="165">
      <c r="A165" s="37"/>
      <c r="B165" s="7"/>
      <c r="C165" s="25"/>
      <c r="D165" s="9"/>
      <c r="H165" s="30"/>
      <c r="I165" s="30"/>
      <c r="J165" s="31"/>
      <c r="K165" s="30"/>
    </row>
    <row r="166">
      <c r="A166" s="37"/>
      <c r="B166" s="7"/>
      <c r="C166" s="25"/>
      <c r="D166" s="9"/>
      <c r="H166" s="30"/>
      <c r="I166" s="30"/>
      <c r="J166" s="31"/>
      <c r="K166" s="30"/>
    </row>
    <row r="167">
      <c r="A167" s="37"/>
      <c r="B167" s="7"/>
      <c r="C167" s="25"/>
      <c r="D167" s="9"/>
      <c r="H167" s="30"/>
      <c r="I167" s="30"/>
      <c r="J167" s="31"/>
      <c r="K167" s="30"/>
    </row>
    <row r="168">
      <c r="A168" s="37"/>
      <c r="B168" s="7"/>
      <c r="C168" s="25"/>
      <c r="D168" s="9"/>
      <c r="H168" s="30"/>
      <c r="I168" s="30"/>
      <c r="J168" s="31"/>
      <c r="K168" s="30"/>
    </row>
    <row r="169">
      <c r="A169" s="37"/>
      <c r="B169" s="7"/>
      <c r="C169" s="25"/>
      <c r="D169" s="9"/>
      <c r="H169" s="30"/>
      <c r="I169" s="30"/>
      <c r="J169" s="31"/>
      <c r="K169" s="30"/>
    </row>
    <row r="170">
      <c r="A170" s="37"/>
      <c r="B170" s="7"/>
      <c r="C170" s="25"/>
      <c r="D170" s="9"/>
      <c r="H170" s="30"/>
      <c r="I170" s="30"/>
      <c r="J170" s="31"/>
      <c r="K170" s="30"/>
    </row>
    <row r="171">
      <c r="A171" s="37"/>
      <c r="B171" s="7"/>
      <c r="C171" s="25"/>
      <c r="D171" s="9"/>
      <c r="H171" s="30"/>
      <c r="I171" s="30"/>
      <c r="J171" s="31"/>
      <c r="K171" s="30"/>
    </row>
    <row r="172">
      <c r="A172" s="37"/>
      <c r="B172" s="7"/>
      <c r="C172" s="25"/>
      <c r="D172" s="9"/>
      <c r="H172" s="30"/>
      <c r="I172" s="30"/>
      <c r="J172" s="31"/>
      <c r="K172" s="30"/>
    </row>
    <row r="173">
      <c r="A173" s="37"/>
      <c r="B173" s="7"/>
      <c r="C173" s="25"/>
      <c r="D173" s="9"/>
      <c r="H173" s="30"/>
      <c r="I173" s="30"/>
      <c r="J173" s="31"/>
      <c r="K173" s="30"/>
    </row>
    <row r="174">
      <c r="A174" s="37"/>
      <c r="B174" s="7"/>
      <c r="C174" s="25"/>
      <c r="D174" s="9"/>
      <c r="H174" s="30"/>
      <c r="I174" s="30"/>
      <c r="J174" s="31"/>
      <c r="K174" s="30"/>
    </row>
    <row r="175">
      <c r="A175" s="37"/>
      <c r="B175" s="7"/>
      <c r="C175" s="25"/>
      <c r="D175" s="9"/>
      <c r="H175" s="30"/>
      <c r="I175" s="30"/>
      <c r="J175" s="31"/>
      <c r="K175" s="30"/>
    </row>
    <row r="176">
      <c r="A176" s="37"/>
      <c r="B176" s="7"/>
      <c r="C176" s="25"/>
      <c r="D176" s="9"/>
      <c r="H176" s="30"/>
      <c r="I176" s="30"/>
      <c r="J176" s="31"/>
      <c r="K176" s="30"/>
    </row>
    <row r="177">
      <c r="A177" s="37"/>
      <c r="B177" s="7"/>
      <c r="C177" s="25"/>
      <c r="D177" s="9"/>
      <c r="H177" s="30"/>
      <c r="I177" s="30"/>
      <c r="J177" s="31"/>
      <c r="K177" s="30"/>
    </row>
    <row r="178">
      <c r="A178" s="37"/>
      <c r="B178" s="7"/>
      <c r="C178" s="25"/>
      <c r="D178" s="9"/>
      <c r="H178" s="30"/>
      <c r="I178" s="30"/>
      <c r="J178" s="31"/>
      <c r="K178" s="30"/>
    </row>
    <row r="179">
      <c r="A179" s="37"/>
      <c r="B179" s="7"/>
      <c r="C179" s="25"/>
      <c r="D179" s="9"/>
      <c r="H179" s="30"/>
      <c r="I179" s="30"/>
      <c r="J179" s="31"/>
      <c r="K179" s="30"/>
    </row>
    <row r="180">
      <c r="A180" s="37"/>
      <c r="B180" s="7"/>
      <c r="C180" s="25"/>
      <c r="D180" s="9"/>
      <c r="H180" s="30"/>
      <c r="I180" s="30"/>
      <c r="J180" s="31"/>
      <c r="K180" s="30"/>
    </row>
    <row r="181">
      <c r="A181" s="37"/>
      <c r="B181" s="7"/>
      <c r="C181" s="25"/>
      <c r="D181" s="9"/>
      <c r="H181" s="30"/>
      <c r="I181" s="30"/>
      <c r="J181" s="31"/>
      <c r="K181" s="30"/>
    </row>
    <row r="182">
      <c r="A182" s="37"/>
      <c r="B182" s="7"/>
      <c r="C182" s="25"/>
      <c r="D182" s="9"/>
      <c r="H182" s="30"/>
      <c r="I182" s="30"/>
      <c r="J182" s="31"/>
      <c r="K182" s="30"/>
    </row>
    <row r="183">
      <c r="A183" s="37"/>
      <c r="B183" s="7"/>
      <c r="C183" s="25"/>
      <c r="D183" s="9"/>
      <c r="H183" s="30"/>
      <c r="I183" s="30"/>
      <c r="J183" s="31"/>
      <c r="K183" s="30"/>
    </row>
    <row r="184">
      <c r="A184" s="37"/>
      <c r="B184" s="7"/>
      <c r="C184" s="25"/>
      <c r="D184" s="9"/>
      <c r="H184" s="30"/>
      <c r="I184" s="30"/>
      <c r="J184" s="31"/>
      <c r="K184" s="30"/>
    </row>
    <row r="185">
      <c r="A185" s="37"/>
      <c r="B185" s="7"/>
      <c r="C185" s="25"/>
      <c r="D185" s="9"/>
      <c r="H185" s="30"/>
      <c r="I185" s="30"/>
      <c r="J185" s="31"/>
      <c r="K185" s="30"/>
    </row>
    <row r="186">
      <c r="A186" s="37"/>
      <c r="B186" s="7"/>
      <c r="C186" s="25"/>
      <c r="D186" s="9"/>
      <c r="H186" s="30"/>
      <c r="I186" s="30"/>
      <c r="J186" s="31"/>
      <c r="K186" s="30"/>
    </row>
    <row r="187">
      <c r="A187" s="37"/>
      <c r="B187" s="7"/>
      <c r="C187" s="25"/>
      <c r="D187" s="9"/>
      <c r="H187" s="30"/>
      <c r="I187" s="30"/>
      <c r="J187" s="31"/>
      <c r="K187" s="30"/>
    </row>
    <row r="188">
      <c r="A188" s="37"/>
      <c r="B188" s="7"/>
      <c r="C188" s="25"/>
      <c r="D188" s="9"/>
      <c r="H188" s="30"/>
      <c r="I188" s="30"/>
      <c r="J188" s="31"/>
      <c r="K188" s="30"/>
    </row>
    <row r="189">
      <c r="A189" s="37"/>
      <c r="B189" s="7"/>
      <c r="C189" s="25"/>
      <c r="D189" s="9"/>
      <c r="H189" s="30"/>
      <c r="I189" s="30"/>
      <c r="J189" s="31"/>
      <c r="K189" s="30"/>
    </row>
    <row r="190">
      <c r="A190" s="37"/>
      <c r="B190" s="7"/>
      <c r="C190" s="25"/>
      <c r="D190" s="9"/>
      <c r="H190" s="30"/>
      <c r="I190" s="30"/>
      <c r="J190" s="31"/>
      <c r="K190" s="30"/>
    </row>
    <row r="191">
      <c r="A191" s="37"/>
      <c r="B191" s="7"/>
      <c r="C191" s="25"/>
      <c r="D191" s="9"/>
      <c r="H191" s="30"/>
      <c r="I191" s="30"/>
      <c r="J191" s="31"/>
      <c r="K191" s="30"/>
    </row>
    <row r="192">
      <c r="A192" s="37"/>
      <c r="B192" s="7"/>
      <c r="C192" s="25"/>
      <c r="D192" s="9"/>
      <c r="H192" s="30"/>
      <c r="I192" s="30"/>
      <c r="J192" s="31"/>
      <c r="K192" s="30"/>
    </row>
    <row r="193">
      <c r="A193" s="37"/>
      <c r="B193" s="7"/>
      <c r="C193" s="25"/>
      <c r="D193" s="9"/>
      <c r="H193" s="30"/>
      <c r="I193" s="30"/>
      <c r="J193" s="31"/>
      <c r="K193" s="30"/>
    </row>
    <row r="194">
      <c r="A194" s="37"/>
      <c r="B194" s="7"/>
      <c r="C194" s="25"/>
      <c r="D194" s="9"/>
      <c r="H194" s="30"/>
      <c r="I194" s="30"/>
      <c r="J194" s="31"/>
      <c r="K194" s="30"/>
    </row>
    <row r="195">
      <c r="A195" s="37"/>
      <c r="B195" s="7"/>
      <c r="C195" s="25"/>
      <c r="D195" s="9"/>
      <c r="H195" s="30"/>
      <c r="I195" s="30"/>
      <c r="J195" s="31"/>
      <c r="K195" s="30"/>
    </row>
    <row r="196">
      <c r="A196" s="37"/>
      <c r="B196" s="7"/>
      <c r="C196" s="25"/>
      <c r="D196" s="9"/>
      <c r="H196" s="30"/>
      <c r="I196" s="30"/>
      <c r="J196" s="31"/>
      <c r="K196" s="30"/>
    </row>
    <row r="197">
      <c r="A197" s="37"/>
      <c r="B197" s="7"/>
      <c r="C197" s="25"/>
      <c r="D197" s="9"/>
      <c r="H197" s="30"/>
      <c r="I197" s="30"/>
      <c r="J197" s="31"/>
      <c r="K197" s="30"/>
    </row>
    <row r="198">
      <c r="A198" s="37"/>
      <c r="B198" s="7"/>
      <c r="C198" s="25"/>
      <c r="D198" s="9"/>
      <c r="H198" s="30"/>
      <c r="I198" s="30"/>
      <c r="J198" s="31"/>
      <c r="K198" s="30"/>
    </row>
    <row r="199">
      <c r="A199" s="37"/>
      <c r="B199" s="7"/>
      <c r="C199" s="25"/>
      <c r="D199" s="9"/>
      <c r="H199" s="30"/>
      <c r="I199" s="30"/>
      <c r="J199" s="31"/>
      <c r="K199" s="30"/>
    </row>
    <row r="200">
      <c r="A200" s="37"/>
      <c r="B200" s="7"/>
      <c r="C200" s="25"/>
      <c r="D200" s="9"/>
      <c r="H200" s="30"/>
      <c r="I200" s="30"/>
      <c r="J200" s="31"/>
      <c r="K200" s="30"/>
    </row>
    <row r="201">
      <c r="A201" s="37"/>
      <c r="B201" s="7"/>
      <c r="C201" s="25"/>
      <c r="D201" s="9"/>
      <c r="H201" s="30"/>
      <c r="I201" s="30"/>
      <c r="J201" s="31"/>
      <c r="K201" s="30"/>
    </row>
    <row r="202">
      <c r="A202" s="37"/>
      <c r="B202" s="7"/>
      <c r="C202" s="25"/>
      <c r="D202" s="9"/>
      <c r="H202" s="30"/>
      <c r="I202" s="30"/>
      <c r="J202" s="31"/>
      <c r="K202" s="30"/>
    </row>
    <row r="203">
      <c r="A203" s="37"/>
      <c r="B203" s="7"/>
      <c r="C203" s="25"/>
      <c r="D203" s="9"/>
      <c r="H203" s="30"/>
      <c r="I203" s="30"/>
      <c r="J203" s="31"/>
      <c r="K203" s="30"/>
    </row>
    <row r="204">
      <c r="A204" s="37"/>
      <c r="B204" s="7"/>
      <c r="C204" s="25"/>
      <c r="D204" s="9"/>
      <c r="H204" s="30"/>
      <c r="I204" s="30"/>
      <c r="J204" s="31"/>
      <c r="K204" s="30"/>
    </row>
    <row r="205">
      <c r="A205" s="37"/>
      <c r="B205" s="7"/>
      <c r="C205" s="25"/>
      <c r="D205" s="9"/>
      <c r="H205" s="30"/>
      <c r="I205" s="30"/>
      <c r="J205" s="31"/>
      <c r="K205" s="30"/>
    </row>
    <row r="206">
      <c r="A206" s="37"/>
      <c r="B206" s="7"/>
      <c r="C206" s="25"/>
      <c r="D206" s="9"/>
      <c r="H206" s="30"/>
      <c r="I206" s="30"/>
      <c r="J206" s="31"/>
      <c r="K206" s="30"/>
    </row>
    <row r="207">
      <c r="A207" s="37"/>
      <c r="B207" s="7"/>
      <c r="C207" s="25"/>
      <c r="D207" s="9"/>
      <c r="H207" s="30"/>
      <c r="I207" s="30"/>
      <c r="J207" s="31"/>
      <c r="K207" s="30"/>
    </row>
    <row r="208">
      <c r="A208" s="37"/>
      <c r="B208" s="7"/>
      <c r="C208" s="25"/>
      <c r="D208" s="9"/>
      <c r="H208" s="30"/>
      <c r="I208" s="30"/>
      <c r="J208" s="31"/>
      <c r="K208" s="30"/>
    </row>
    <row r="209">
      <c r="A209" s="37"/>
      <c r="B209" s="7"/>
      <c r="C209" s="25"/>
      <c r="D209" s="9"/>
      <c r="H209" s="30"/>
      <c r="I209" s="30"/>
      <c r="J209" s="31"/>
      <c r="K209" s="30"/>
    </row>
    <row r="210">
      <c r="A210" s="37"/>
      <c r="B210" s="7"/>
      <c r="C210" s="25"/>
      <c r="D210" s="9"/>
      <c r="H210" s="30"/>
      <c r="I210" s="30"/>
      <c r="J210" s="31"/>
      <c r="K210" s="30"/>
    </row>
    <row r="211">
      <c r="A211" s="37"/>
      <c r="B211" s="7"/>
      <c r="C211" s="25"/>
      <c r="D211" s="9"/>
      <c r="H211" s="30"/>
      <c r="I211" s="30"/>
      <c r="J211" s="31"/>
      <c r="K211" s="30"/>
    </row>
    <row r="212">
      <c r="A212" s="37"/>
      <c r="B212" s="7"/>
      <c r="C212" s="25"/>
      <c r="D212" s="9"/>
      <c r="H212" s="30"/>
      <c r="I212" s="30"/>
      <c r="J212" s="31"/>
      <c r="K212" s="30"/>
    </row>
    <row r="213">
      <c r="A213" s="37"/>
      <c r="B213" s="7"/>
      <c r="C213" s="25"/>
      <c r="D213" s="9"/>
      <c r="H213" s="30"/>
      <c r="I213" s="30"/>
      <c r="J213" s="31"/>
      <c r="K213" s="30"/>
    </row>
    <row r="214">
      <c r="A214" s="37"/>
      <c r="B214" s="7"/>
      <c r="C214" s="25"/>
      <c r="D214" s="9"/>
      <c r="H214" s="30"/>
      <c r="I214" s="30"/>
      <c r="J214" s="31"/>
      <c r="K214" s="30"/>
    </row>
    <row r="215">
      <c r="A215" s="37"/>
      <c r="B215" s="7"/>
      <c r="C215" s="25"/>
      <c r="D215" s="9"/>
      <c r="H215" s="30"/>
      <c r="I215" s="30"/>
      <c r="J215" s="31"/>
      <c r="K215" s="30"/>
    </row>
    <row r="216">
      <c r="A216" s="37"/>
      <c r="B216" s="7"/>
      <c r="C216" s="25"/>
      <c r="D216" s="9"/>
      <c r="H216" s="30"/>
      <c r="I216" s="30"/>
      <c r="J216" s="31"/>
      <c r="K216" s="30"/>
    </row>
    <row r="217">
      <c r="A217" s="37"/>
      <c r="B217" s="7"/>
      <c r="C217" s="25"/>
      <c r="D217" s="9"/>
      <c r="H217" s="30"/>
      <c r="I217" s="30"/>
      <c r="J217" s="31"/>
      <c r="K217" s="30"/>
    </row>
    <row r="218">
      <c r="A218" s="37"/>
      <c r="B218" s="7"/>
      <c r="C218" s="25"/>
      <c r="D218" s="9"/>
      <c r="H218" s="30"/>
      <c r="I218" s="30"/>
      <c r="J218" s="31"/>
      <c r="K218" s="30"/>
    </row>
    <row r="219">
      <c r="A219" s="37"/>
      <c r="B219" s="7"/>
      <c r="C219" s="25"/>
      <c r="D219" s="9"/>
      <c r="H219" s="30"/>
      <c r="I219" s="30"/>
      <c r="J219" s="31"/>
      <c r="K219" s="30"/>
    </row>
    <row r="220">
      <c r="A220" s="37"/>
      <c r="B220" s="7"/>
      <c r="C220" s="25"/>
      <c r="D220" s="9"/>
      <c r="H220" s="30"/>
      <c r="I220" s="30"/>
      <c r="J220" s="31"/>
      <c r="K220" s="30"/>
    </row>
    <row r="221">
      <c r="A221" s="37"/>
      <c r="B221" s="7"/>
      <c r="C221" s="25"/>
      <c r="D221" s="9"/>
      <c r="H221" s="30"/>
      <c r="I221" s="30"/>
      <c r="J221" s="31"/>
      <c r="K221" s="30"/>
    </row>
    <row r="222">
      <c r="A222" s="37"/>
      <c r="B222" s="7"/>
      <c r="C222" s="25"/>
      <c r="D222" s="9"/>
      <c r="H222" s="30"/>
      <c r="I222" s="30"/>
      <c r="J222" s="31"/>
      <c r="K222" s="30"/>
    </row>
    <row r="223">
      <c r="A223" s="37"/>
      <c r="B223" s="7"/>
      <c r="C223" s="25"/>
      <c r="D223" s="9"/>
      <c r="H223" s="30"/>
      <c r="I223" s="30"/>
      <c r="J223" s="31"/>
      <c r="K223" s="30"/>
    </row>
    <row r="224">
      <c r="A224" s="37"/>
      <c r="B224" s="7"/>
      <c r="C224" s="25"/>
      <c r="D224" s="9"/>
      <c r="H224" s="30"/>
      <c r="I224" s="30"/>
      <c r="J224" s="31"/>
      <c r="K224" s="30"/>
    </row>
    <row r="225">
      <c r="A225" s="37"/>
      <c r="B225" s="7"/>
      <c r="C225" s="25"/>
      <c r="D225" s="9"/>
      <c r="H225" s="30"/>
      <c r="I225" s="30"/>
      <c r="J225" s="31"/>
      <c r="K225" s="30"/>
    </row>
    <row r="226">
      <c r="A226" s="37"/>
      <c r="B226" s="7"/>
      <c r="C226" s="25"/>
      <c r="D226" s="9"/>
      <c r="H226" s="30"/>
      <c r="I226" s="30"/>
      <c r="J226" s="31"/>
      <c r="K226" s="30"/>
    </row>
    <row r="227">
      <c r="A227" s="37"/>
      <c r="B227" s="7"/>
      <c r="C227" s="25"/>
      <c r="D227" s="9"/>
      <c r="H227" s="30"/>
      <c r="I227" s="30"/>
      <c r="J227" s="31"/>
      <c r="K227" s="30"/>
    </row>
    <row r="228">
      <c r="A228" s="37"/>
      <c r="B228" s="7"/>
      <c r="C228" s="25"/>
      <c r="D228" s="9"/>
      <c r="H228" s="30"/>
      <c r="I228" s="30"/>
      <c r="J228" s="31"/>
      <c r="K228" s="30"/>
    </row>
    <row r="229">
      <c r="A229" s="37"/>
      <c r="B229" s="7"/>
      <c r="C229" s="25"/>
      <c r="D229" s="9"/>
      <c r="H229" s="30"/>
      <c r="I229" s="30"/>
      <c r="J229" s="31"/>
      <c r="K229" s="30"/>
    </row>
    <row r="230">
      <c r="A230" s="37"/>
      <c r="B230" s="7"/>
      <c r="C230" s="25"/>
      <c r="D230" s="9"/>
      <c r="H230" s="30"/>
      <c r="I230" s="30"/>
      <c r="J230" s="31"/>
      <c r="K230" s="30"/>
    </row>
    <row r="231">
      <c r="A231" s="37"/>
      <c r="B231" s="7"/>
      <c r="C231" s="25"/>
      <c r="D231" s="9"/>
      <c r="H231" s="30"/>
      <c r="I231" s="30"/>
      <c r="J231" s="31"/>
      <c r="K231" s="30"/>
    </row>
    <row r="232">
      <c r="A232" s="37"/>
      <c r="B232" s="7"/>
      <c r="C232" s="25"/>
      <c r="D232" s="9"/>
      <c r="H232" s="30"/>
      <c r="I232" s="30"/>
      <c r="J232" s="31"/>
      <c r="K232" s="30"/>
    </row>
    <row r="233">
      <c r="A233" s="37"/>
      <c r="B233" s="7"/>
      <c r="C233" s="25"/>
      <c r="D233" s="9"/>
      <c r="H233" s="30"/>
      <c r="I233" s="30"/>
      <c r="J233" s="31"/>
      <c r="K233" s="30"/>
    </row>
    <row r="234">
      <c r="A234" s="37"/>
      <c r="B234" s="7"/>
      <c r="C234" s="25"/>
      <c r="D234" s="9"/>
      <c r="H234" s="30"/>
      <c r="I234" s="30"/>
      <c r="J234" s="31"/>
      <c r="K234" s="30"/>
    </row>
    <row r="235">
      <c r="A235" s="37"/>
      <c r="B235" s="7"/>
      <c r="C235" s="25"/>
      <c r="D235" s="9"/>
      <c r="H235" s="30"/>
      <c r="I235" s="30"/>
      <c r="J235" s="31"/>
      <c r="K235" s="30"/>
    </row>
    <row r="236">
      <c r="A236" s="37"/>
      <c r="B236" s="7"/>
      <c r="C236" s="25"/>
      <c r="D236" s="9"/>
      <c r="H236" s="30"/>
      <c r="I236" s="30"/>
      <c r="J236" s="31"/>
      <c r="K236" s="30"/>
    </row>
    <row r="237">
      <c r="A237" s="37"/>
      <c r="B237" s="7"/>
      <c r="C237" s="25"/>
      <c r="D237" s="9"/>
      <c r="H237" s="30"/>
      <c r="I237" s="30"/>
      <c r="J237" s="31"/>
      <c r="K237" s="30"/>
    </row>
    <row r="238">
      <c r="A238" s="37"/>
      <c r="B238" s="7"/>
      <c r="C238" s="25"/>
      <c r="D238" s="9"/>
      <c r="H238" s="30"/>
      <c r="I238" s="30"/>
      <c r="J238" s="31"/>
      <c r="K238" s="30"/>
    </row>
    <row r="239">
      <c r="A239" s="37"/>
      <c r="B239" s="7"/>
      <c r="C239" s="25"/>
      <c r="D239" s="9"/>
      <c r="H239" s="30"/>
      <c r="I239" s="30"/>
      <c r="J239" s="31"/>
      <c r="K239" s="30"/>
    </row>
    <row r="240">
      <c r="A240" s="37"/>
      <c r="B240" s="7"/>
      <c r="C240" s="25"/>
      <c r="D240" s="9"/>
      <c r="H240" s="30"/>
      <c r="I240" s="30"/>
      <c r="J240" s="31"/>
      <c r="K240" s="30"/>
    </row>
    <row r="241">
      <c r="A241" s="37"/>
      <c r="B241" s="7"/>
      <c r="C241" s="25"/>
      <c r="D241" s="9"/>
      <c r="H241" s="30"/>
      <c r="I241" s="30"/>
      <c r="J241" s="31"/>
      <c r="K241" s="30"/>
    </row>
    <row r="242">
      <c r="A242" s="37"/>
      <c r="B242" s="7"/>
      <c r="C242" s="25"/>
      <c r="D242" s="9"/>
      <c r="H242" s="30"/>
      <c r="I242" s="30"/>
      <c r="J242" s="31"/>
      <c r="K242" s="30"/>
    </row>
    <row r="243">
      <c r="A243" s="37"/>
      <c r="B243" s="7"/>
      <c r="C243" s="25"/>
      <c r="D243" s="9"/>
      <c r="H243" s="30"/>
      <c r="I243" s="30"/>
      <c r="J243" s="31"/>
      <c r="K243" s="30"/>
    </row>
    <row r="244">
      <c r="A244" s="37"/>
      <c r="B244" s="7"/>
      <c r="C244" s="25"/>
      <c r="D244" s="9"/>
      <c r="H244" s="30"/>
      <c r="I244" s="30"/>
      <c r="J244" s="31"/>
      <c r="K244" s="30"/>
    </row>
    <row r="245">
      <c r="A245" s="37"/>
      <c r="B245" s="7"/>
      <c r="C245" s="25"/>
      <c r="D245" s="9"/>
      <c r="H245" s="30"/>
      <c r="I245" s="30"/>
      <c r="J245" s="31"/>
      <c r="K245" s="30"/>
    </row>
    <row r="246">
      <c r="A246" s="37"/>
      <c r="B246" s="7"/>
      <c r="C246" s="25"/>
      <c r="D246" s="9"/>
      <c r="H246" s="30"/>
      <c r="I246" s="30"/>
      <c r="J246" s="31"/>
      <c r="K246" s="30"/>
    </row>
    <row r="247">
      <c r="A247" s="37"/>
      <c r="B247" s="7"/>
      <c r="C247" s="25"/>
      <c r="D247" s="9"/>
      <c r="H247" s="30"/>
      <c r="I247" s="30"/>
      <c r="J247" s="31"/>
      <c r="K247" s="30"/>
    </row>
    <row r="248">
      <c r="A248" s="37"/>
      <c r="B248" s="7"/>
      <c r="C248" s="25"/>
      <c r="D248" s="9"/>
      <c r="H248" s="30"/>
      <c r="I248" s="30"/>
      <c r="J248" s="31"/>
      <c r="K248" s="30"/>
    </row>
    <row r="249">
      <c r="A249" s="37"/>
      <c r="B249" s="7"/>
      <c r="C249" s="25"/>
      <c r="D249" s="9"/>
      <c r="H249" s="30"/>
      <c r="I249" s="30"/>
      <c r="J249" s="31"/>
      <c r="K249" s="30"/>
    </row>
    <row r="250">
      <c r="A250" s="37"/>
      <c r="B250" s="7"/>
      <c r="C250" s="25"/>
      <c r="D250" s="9"/>
      <c r="H250" s="30"/>
      <c r="I250" s="30"/>
      <c r="J250" s="31"/>
      <c r="K250" s="30"/>
    </row>
    <row r="251">
      <c r="A251" s="37"/>
      <c r="B251" s="7"/>
      <c r="C251" s="25"/>
      <c r="D251" s="9"/>
      <c r="H251" s="30"/>
      <c r="I251" s="30"/>
      <c r="J251" s="31"/>
      <c r="K251" s="30"/>
    </row>
    <row r="252">
      <c r="A252" s="37"/>
      <c r="B252" s="7"/>
      <c r="C252" s="25"/>
      <c r="D252" s="9"/>
      <c r="H252" s="30"/>
      <c r="I252" s="30"/>
      <c r="J252" s="31"/>
      <c r="K252" s="30"/>
    </row>
    <row r="253">
      <c r="A253" s="37"/>
      <c r="B253" s="7"/>
      <c r="C253" s="25"/>
      <c r="D253" s="9"/>
      <c r="H253" s="30"/>
      <c r="I253" s="30"/>
      <c r="J253" s="31"/>
      <c r="K253" s="30"/>
    </row>
    <row r="254">
      <c r="A254" s="37"/>
      <c r="B254" s="7"/>
      <c r="C254" s="25"/>
      <c r="D254" s="9"/>
      <c r="H254" s="30"/>
      <c r="I254" s="30"/>
      <c r="J254" s="31"/>
      <c r="K254" s="30"/>
    </row>
    <row r="255">
      <c r="A255" s="37"/>
      <c r="B255" s="7"/>
      <c r="C255" s="25"/>
      <c r="D255" s="9"/>
      <c r="H255" s="30"/>
      <c r="I255" s="30"/>
      <c r="J255" s="31"/>
      <c r="K255" s="30"/>
    </row>
    <row r="256">
      <c r="A256" s="37"/>
      <c r="B256" s="7"/>
      <c r="C256" s="25"/>
      <c r="D256" s="9"/>
      <c r="H256" s="30"/>
      <c r="I256" s="30"/>
      <c r="J256" s="31"/>
      <c r="K256" s="30"/>
    </row>
    <row r="257">
      <c r="A257" s="37"/>
      <c r="B257" s="7"/>
      <c r="C257" s="25"/>
      <c r="D257" s="9"/>
      <c r="H257" s="30"/>
      <c r="I257" s="30"/>
      <c r="J257" s="31"/>
      <c r="K257" s="30"/>
    </row>
    <row r="258">
      <c r="A258" s="37"/>
      <c r="B258" s="7"/>
      <c r="C258" s="25"/>
      <c r="D258" s="9"/>
      <c r="H258" s="30"/>
      <c r="I258" s="30"/>
      <c r="J258" s="31"/>
      <c r="K258" s="30"/>
    </row>
    <row r="259">
      <c r="A259" s="37"/>
      <c r="B259" s="7"/>
      <c r="C259" s="25"/>
      <c r="D259" s="9"/>
      <c r="H259" s="30"/>
      <c r="I259" s="30"/>
      <c r="J259" s="31"/>
      <c r="K259" s="30"/>
    </row>
    <row r="260">
      <c r="A260" s="37"/>
      <c r="B260" s="7"/>
      <c r="C260" s="25"/>
      <c r="D260" s="9"/>
      <c r="H260" s="30"/>
      <c r="I260" s="30"/>
      <c r="J260" s="31"/>
      <c r="K260" s="30"/>
    </row>
    <row r="261">
      <c r="A261" s="37"/>
      <c r="B261" s="7"/>
      <c r="C261" s="25"/>
      <c r="D261" s="9"/>
      <c r="H261" s="30"/>
      <c r="I261" s="30"/>
      <c r="J261" s="31"/>
      <c r="K261" s="30"/>
    </row>
    <row r="262">
      <c r="A262" s="37"/>
      <c r="B262" s="7"/>
      <c r="C262" s="25"/>
      <c r="D262" s="9"/>
      <c r="H262" s="30"/>
      <c r="I262" s="30"/>
      <c r="J262" s="31"/>
      <c r="K262" s="30"/>
    </row>
    <row r="263">
      <c r="A263" s="37"/>
      <c r="B263" s="7"/>
      <c r="C263" s="25"/>
      <c r="D263" s="9"/>
      <c r="H263" s="30"/>
      <c r="I263" s="30"/>
      <c r="J263" s="31"/>
      <c r="K263" s="30"/>
    </row>
    <row r="264">
      <c r="A264" s="37"/>
      <c r="B264" s="7"/>
      <c r="C264" s="25"/>
      <c r="D264" s="9"/>
      <c r="H264" s="30"/>
      <c r="I264" s="30"/>
      <c r="J264" s="31"/>
      <c r="K264" s="30"/>
    </row>
    <row r="265">
      <c r="A265" s="37"/>
      <c r="B265" s="7"/>
      <c r="C265" s="25"/>
      <c r="D265" s="9"/>
      <c r="H265" s="30"/>
      <c r="I265" s="30"/>
      <c r="J265" s="31"/>
      <c r="K265" s="30"/>
    </row>
    <row r="266">
      <c r="A266" s="37"/>
      <c r="B266" s="7"/>
      <c r="C266" s="25"/>
      <c r="D266" s="9"/>
      <c r="H266" s="30"/>
      <c r="I266" s="30"/>
      <c r="J266" s="31"/>
      <c r="K266" s="30"/>
    </row>
    <row r="267">
      <c r="A267" s="37"/>
      <c r="B267" s="7"/>
      <c r="C267" s="25"/>
      <c r="D267" s="9"/>
      <c r="H267" s="30"/>
      <c r="I267" s="30"/>
      <c r="J267" s="31"/>
      <c r="K267" s="30"/>
    </row>
    <row r="268">
      <c r="A268" s="37"/>
      <c r="B268" s="7"/>
      <c r="C268" s="25"/>
      <c r="D268" s="9"/>
      <c r="H268" s="30"/>
      <c r="I268" s="30"/>
      <c r="J268" s="31"/>
      <c r="K268" s="30"/>
    </row>
    <row r="269">
      <c r="A269" s="37"/>
      <c r="B269" s="7"/>
      <c r="C269" s="25"/>
      <c r="D269" s="9"/>
      <c r="H269" s="30"/>
      <c r="I269" s="30"/>
      <c r="J269" s="31"/>
      <c r="K269" s="30"/>
    </row>
    <row r="270">
      <c r="A270" s="37"/>
      <c r="B270" s="7"/>
      <c r="C270" s="25"/>
      <c r="D270" s="9"/>
      <c r="H270" s="30"/>
      <c r="I270" s="30"/>
      <c r="J270" s="31"/>
      <c r="K270" s="30"/>
    </row>
    <row r="271">
      <c r="A271" s="37"/>
      <c r="B271" s="7"/>
      <c r="C271" s="25"/>
      <c r="D271" s="9"/>
      <c r="H271" s="30"/>
      <c r="I271" s="30"/>
      <c r="J271" s="31"/>
      <c r="K271" s="30"/>
    </row>
    <row r="272">
      <c r="A272" s="37"/>
      <c r="B272" s="7"/>
      <c r="C272" s="25"/>
      <c r="D272" s="9"/>
      <c r="H272" s="30"/>
      <c r="I272" s="30"/>
      <c r="J272" s="31"/>
      <c r="K272" s="30"/>
    </row>
    <row r="273">
      <c r="A273" s="37"/>
      <c r="B273" s="7"/>
      <c r="C273" s="25"/>
      <c r="D273" s="9"/>
      <c r="H273" s="30"/>
      <c r="I273" s="30"/>
      <c r="J273" s="31"/>
      <c r="K273" s="30"/>
    </row>
    <row r="274">
      <c r="A274" s="37"/>
      <c r="B274" s="7"/>
      <c r="C274" s="25"/>
      <c r="D274" s="9"/>
      <c r="H274" s="30"/>
      <c r="I274" s="30"/>
      <c r="J274" s="31"/>
      <c r="K274" s="30"/>
    </row>
    <row r="275">
      <c r="A275" s="37"/>
      <c r="B275" s="7"/>
      <c r="C275" s="25"/>
      <c r="D275" s="9"/>
      <c r="H275" s="30"/>
      <c r="I275" s="30"/>
      <c r="J275" s="31"/>
      <c r="K275" s="30"/>
    </row>
    <row r="276">
      <c r="A276" s="37"/>
      <c r="B276" s="7"/>
      <c r="C276" s="25"/>
      <c r="D276" s="9"/>
      <c r="H276" s="30"/>
      <c r="I276" s="30"/>
      <c r="J276" s="31"/>
      <c r="K276" s="30"/>
    </row>
    <row r="277">
      <c r="A277" s="37"/>
      <c r="B277" s="7"/>
      <c r="C277" s="25"/>
      <c r="D277" s="9"/>
      <c r="H277" s="30"/>
      <c r="I277" s="30"/>
      <c r="J277" s="31"/>
      <c r="K277" s="30"/>
    </row>
    <row r="278">
      <c r="A278" s="37"/>
      <c r="B278" s="7"/>
      <c r="C278" s="25"/>
      <c r="D278" s="9"/>
      <c r="H278" s="30"/>
      <c r="I278" s="30"/>
      <c r="J278" s="31"/>
      <c r="K278" s="30"/>
    </row>
    <row r="279">
      <c r="A279" s="37"/>
      <c r="B279" s="7"/>
      <c r="C279" s="25"/>
      <c r="D279" s="9"/>
      <c r="H279" s="30"/>
      <c r="I279" s="30"/>
      <c r="J279" s="31"/>
      <c r="K279" s="30"/>
    </row>
    <row r="280">
      <c r="A280" s="37"/>
      <c r="B280" s="7"/>
      <c r="C280" s="25"/>
      <c r="D280" s="9"/>
      <c r="H280" s="30"/>
      <c r="I280" s="30"/>
      <c r="J280" s="31"/>
      <c r="K280" s="30"/>
    </row>
    <row r="281">
      <c r="A281" s="37"/>
      <c r="B281" s="7"/>
      <c r="C281" s="25"/>
      <c r="D281" s="9"/>
      <c r="H281" s="30"/>
      <c r="I281" s="30"/>
      <c r="J281" s="31"/>
      <c r="K281" s="30"/>
    </row>
    <row r="282">
      <c r="A282" s="37"/>
      <c r="B282" s="7"/>
      <c r="C282" s="25"/>
      <c r="D282" s="9"/>
      <c r="H282" s="30"/>
      <c r="I282" s="30"/>
      <c r="J282" s="31"/>
      <c r="K282" s="30"/>
    </row>
    <row r="283">
      <c r="A283" s="37"/>
      <c r="B283" s="7"/>
      <c r="C283" s="25"/>
      <c r="D283" s="9"/>
      <c r="H283" s="30"/>
      <c r="I283" s="30"/>
      <c r="J283" s="31"/>
      <c r="K283" s="30"/>
    </row>
    <row r="284">
      <c r="A284" s="37"/>
      <c r="B284" s="7"/>
      <c r="C284" s="25"/>
      <c r="D284" s="9"/>
      <c r="H284" s="30"/>
      <c r="I284" s="30"/>
      <c r="J284" s="31"/>
      <c r="K284" s="30"/>
    </row>
    <row r="285">
      <c r="A285" s="37"/>
      <c r="B285" s="7"/>
      <c r="C285" s="25"/>
      <c r="D285" s="9"/>
      <c r="H285" s="30"/>
      <c r="I285" s="30"/>
      <c r="J285" s="31"/>
      <c r="K285" s="30"/>
    </row>
    <row r="286">
      <c r="A286" s="37"/>
      <c r="B286" s="7"/>
      <c r="C286" s="25"/>
      <c r="D286" s="9"/>
      <c r="H286" s="30"/>
      <c r="I286" s="30"/>
      <c r="J286" s="31"/>
      <c r="K286" s="30"/>
    </row>
    <row r="287">
      <c r="A287" s="37"/>
      <c r="B287" s="7"/>
      <c r="C287" s="25"/>
      <c r="D287" s="9"/>
      <c r="H287" s="30"/>
      <c r="I287" s="30"/>
      <c r="J287" s="31"/>
      <c r="K287" s="30"/>
    </row>
    <row r="288">
      <c r="A288" s="37"/>
      <c r="B288" s="7"/>
      <c r="C288" s="25"/>
      <c r="D288" s="9"/>
      <c r="H288" s="30"/>
      <c r="I288" s="30"/>
      <c r="J288" s="31"/>
      <c r="K288" s="30"/>
    </row>
    <row r="289">
      <c r="A289" s="37"/>
      <c r="B289" s="7"/>
      <c r="C289" s="25"/>
      <c r="D289" s="9"/>
      <c r="H289" s="30"/>
      <c r="I289" s="30"/>
      <c r="J289" s="31"/>
      <c r="K289" s="30"/>
    </row>
    <row r="290">
      <c r="A290" s="37"/>
      <c r="B290" s="7"/>
      <c r="C290" s="25"/>
      <c r="D290" s="9"/>
      <c r="H290" s="30"/>
      <c r="I290" s="30"/>
      <c r="J290" s="31"/>
      <c r="K290" s="30"/>
    </row>
    <row r="291">
      <c r="A291" s="37"/>
      <c r="B291" s="7"/>
      <c r="C291" s="25"/>
      <c r="D291" s="9"/>
      <c r="H291" s="30"/>
      <c r="I291" s="30"/>
      <c r="J291" s="31"/>
      <c r="K291" s="30"/>
    </row>
    <row r="292">
      <c r="A292" s="37"/>
      <c r="B292" s="7"/>
      <c r="C292" s="25"/>
      <c r="D292" s="9"/>
      <c r="H292" s="30"/>
      <c r="I292" s="30"/>
      <c r="J292" s="31"/>
      <c r="K292" s="30"/>
    </row>
    <row r="293">
      <c r="A293" s="37"/>
      <c r="B293" s="7"/>
      <c r="C293" s="25"/>
      <c r="D293" s="9"/>
      <c r="H293" s="30"/>
      <c r="I293" s="30"/>
      <c r="J293" s="31"/>
      <c r="K293" s="30"/>
    </row>
    <row r="294">
      <c r="A294" s="37"/>
      <c r="B294" s="7"/>
      <c r="C294" s="25"/>
      <c r="D294" s="9"/>
      <c r="H294" s="30"/>
      <c r="I294" s="30"/>
      <c r="J294" s="31"/>
      <c r="K294" s="30"/>
    </row>
    <row r="295">
      <c r="A295" s="37"/>
      <c r="B295" s="7"/>
      <c r="C295" s="25"/>
      <c r="D295" s="9"/>
      <c r="H295" s="30"/>
      <c r="I295" s="30"/>
      <c r="J295" s="31"/>
      <c r="K295" s="30"/>
    </row>
    <row r="296">
      <c r="A296" s="37"/>
      <c r="B296" s="7"/>
      <c r="C296" s="25"/>
      <c r="D296" s="9"/>
      <c r="H296" s="30"/>
      <c r="I296" s="30"/>
      <c r="J296" s="31"/>
      <c r="K296" s="30"/>
    </row>
    <row r="297">
      <c r="A297" s="37"/>
      <c r="B297" s="7"/>
      <c r="C297" s="25"/>
      <c r="D297" s="9"/>
      <c r="H297" s="30"/>
      <c r="I297" s="30"/>
      <c r="J297" s="31"/>
      <c r="K297" s="30"/>
    </row>
    <row r="298">
      <c r="A298" s="37"/>
      <c r="B298" s="7"/>
      <c r="C298" s="25"/>
      <c r="D298" s="9"/>
      <c r="H298" s="30"/>
      <c r="I298" s="30"/>
      <c r="J298" s="31"/>
      <c r="K298" s="30"/>
    </row>
    <row r="299">
      <c r="A299" s="37"/>
      <c r="B299" s="7"/>
      <c r="C299" s="25"/>
      <c r="D299" s="9"/>
      <c r="H299" s="30"/>
      <c r="I299" s="30"/>
      <c r="J299" s="31"/>
      <c r="K299" s="30"/>
    </row>
    <row r="300">
      <c r="A300" s="37"/>
      <c r="B300" s="7"/>
      <c r="C300" s="25"/>
      <c r="D300" s="9"/>
      <c r="H300" s="30"/>
      <c r="I300" s="30"/>
      <c r="J300" s="31"/>
      <c r="K300" s="30"/>
    </row>
    <row r="301">
      <c r="A301" s="37"/>
      <c r="B301" s="7"/>
      <c r="C301" s="25"/>
      <c r="D301" s="9"/>
      <c r="H301" s="30"/>
      <c r="I301" s="30"/>
      <c r="J301" s="31"/>
      <c r="K301" s="30"/>
    </row>
    <row r="302">
      <c r="A302" s="37"/>
      <c r="B302" s="7"/>
      <c r="C302" s="25"/>
      <c r="D302" s="9"/>
      <c r="H302" s="30"/>
      <c r="I302" s="30"/>
      <c r="J302" s="31"/>
      <c r="K302" s="30"/>
    </row>
    <row r="303">
      <c r="A303" s="37"/>
      <c r="B303" s="7"/>
      <c r="C303" s="25"/>
      <c r="D303" s="9"/>
      <c r="H303" s="30"/>
      <c r="I303" s="30"/>
      <c r="J303" s="31"/>
      <c r="K303" s="30"/>
    </row>
    <row r="304">
      <c r="A304" s="37"/>
      <c r="B304" s="7"/>
      <c r="C304" s="25"/>
      <c r="D304" s="9"/>
      <c r="H304" s="30"/>
      <c r="I304" s="30"/>
      <c r="J304" s="31"/>
      <c r="K304" s="30"/>
    </row>
    <row r="305">
      <c r="A305" s="37"/>
      <c r="B305" s="7"/>
      <c r="C305" s="25"/>
      <c r="D305" s="9"/>
      <c r="H305" s="30"/>
      <c r="I305" s="30"/>
      <c r="J305" s="31"/>
      <c r="K305" s="30"/>
    </row>
    <row r="306">
      <c r="A306" s="37"/>
      <c r="B306" s="7"/>
      <c r="C306" s="25"/>
      <c r="D306" s="9"/>
      <c r="H306" s="30"/>
      <c r="I306" s="30"/>
      <c r="J306" s="31"/>
      <c r="K306" s="30"/>
    </row>
    <row r="307">
      <c r="A307" s="37"/>
      <c r="B307" s="7"/>
      <c r="C307" s="25"/>
      <c r="D307" s="9"/>
      <c r="H307" s="30"/>
      <c r="I307" s="30"/>
      <c r="J307" s="31"/>
      <c r="K307" s="30"/>
    </row>
    <row r="308">
      <c r="A308" s="37"/>
      <c r="B308" s="7"/>
      <c r="C308" s="25"/>
      <c r="D308" s="9"/>
      <c r="H308" s="30"/>
      <c r="I308" s="30"/>
      <c r="J308" s="31"/>
      <c r="K308" s="30"/>
    </row>
    <row r="309">
      <c r="A309" s="37"/>
      <c r="B309" s="7"/>
      <c r="C309" s="25"/>
      <c r="D309" s="9"/>
      <c r="H309" s="30"/>
      <c r="I309" s="30"/>
      <c r="J309" s="31"/>
      <c r="K309" s="30"/>
    </row>
    <row r="310">
      <c r="A310" s="37"/>
      <c r="B310" s="7"/>
      <c r="C310" s="25"/>
      <c r="D310" s="9"/>
      <c r="H310" s="30"/>
      <c r="I310" s="30"/>
      <c r="J310" s="31"/>
      <c r="K310" s="30"/>
    </row>
    <row r="311">
      <c r="A311" s="37"/>
      <c r="B311" s="7"/>
      <c r="C311" s="25"/>
      <c r="D311" s="9"/>
      <c r="H311" s="30"/>
      <c r="I311" s="30"/>
      <c r="J311" s="31"/>
      <c r="K311" s="30"/>
    </row>
    <row r="312">
      <c r="A312" s="37"/>
      <c r="B312" s="7"/>
      <c r="C312" s="25"/>
      <c r="D312" s="9"/>
      <c r="H312" s="30"/>
      <c r="I312" s="30"/>
      <c r="J312" s="31"/>
      <c r="K312" s="30"/>
    </row>
    <row r="313">
      <c r="A313" s="37"/>
      <c r="B313" s="7"/>
      <c r="C313" s="25"/>
      <c r="D313" s="9"/>
      <c r="H313" s="30"/>
      <c r="I313" s="30"/>
      <c r="J313" s="31"/>
      <c r="K313" s="30"/>
    </row>
    <row r="314">
      <c r="A314" s="37"/>
      <c r="B314" s="7"/>
      <c r="C314" s="25"/>
      <c r="D314" s="9"/>
      <c r="H314" s="30"/>
      <c r="I314" s="30"/>
      <c r="J314" s="31"/>
      <c r="K314" s="30"/>
    </row>
    <row r="315">
      <c r="A315" s="37"/>
      <c r="B315" s="7"/>
      <c r="C315" s="25"/>
      <c r="D315" s="9"/>
      <c r="H315" s="30"/>
      <c r="I315" s="30"/>
      <c r="J315" s="31"/>
      <c r="K315" s="30"/>
    </row>
    <row r="316">
      <c r="A316" s="37"/>
      <c r="B316" s="7"/>
      <c r="C316" s="25"/>
      <c r="D316" s="9"/>
      <c r="H316" s="30"/>
      <c r="I316" s="30"/>
      <c r="J316" s="31"/>
      <c r="K316" s="30"/>
    </row>
    <row r="317">
      <c r="A317" s="37"/>
      <c r="B317" s="7"/>
      <c r="C317" s="25"/>
      <c r="D317" s="9"/>
      <c r="H317" s="30"/>
      <c r="I317" s="30"/>
      <c r="J317" s="31"/>
      <c r="K317" s="30"/>
    </row>
    <row r="318">
      <c r="A318" s="37"/>
      <c r="B318" s="7"/>
      <c r="C318" s="25"/>
      <c r="D318" s="9"/>
      <c r="H318" s="30"/>
      <c r="I318" s="30"/>
      <c r="J318" s="31"/>
      <c r="K318" s="30"/>
    </row>
    <row r="319">
      <c r="A319" s="37"/>
      <c r="B319" s="7"/>
      <c r="C319" s="25"/>
      <c r="D319" s="9"/>
      <c r="H319" s="30"/>
      <c r="I319" s="30"/>
      <c r="J319" s="31"/>
      <c r="K319" s="30"/>
    </row>
    <row r="320">
      <c r="A320" s="37"/>
      <c r="B320" s="7"/>
      <c r="C320" s="25"/>
      <c r="D320" s="9"/>
      <c r="H320" s="30"/>
      <c r="I320" s="30"/>
      <c r="J320" s="31"/>
      <c r="K320" s="30"/>
    </row>
    <row r="321">
      <c r="A321" s="37"/>
      <c r="B321" s="7"/>
      <c r="C321" s="25"/>
      <c r="D321" s="9"/>
      <c r="H321" s="30"/>
      <c r="I321" s="30"/>
      <c r="J321" s="31"/>
      <c r="K321" s="30"/>
    </row>
    <row r="322">
      <c r="A322" s="37"/>
      <c r="B322" s="7"/>
      <c r="C322" s="25"/>
      <c r="D322" s="9"/>
      <c r="H322" s="30"/>
      <c r="I322" s="30"/>
      <c r="J322" s="31"/>
      <c r="K322" s="30"/>
    </row>
    <row r="323">
      <c r="A323" s="37"/>
      <c r="B323" s="7"/>
      <c r="C323" s="25"/>
      <c r="D323" s="9"/>
      <c r="H323" s="30"/>
      <c r="I323" s="30"/>
      <c r="J323" s="31"/>
      <c r="K323" s="30"/>
    </row>
    <row r="324">
      <c r="A324" s="37"/>
      <c r="B324" s="7"/>
      <c r="C324" s="25"/>
      <c r="D324" s="9"/>
      <c r="H324" s="30"/>
      <c r="I324" s="30"/>
      <c r="J324" s="31"/>
      <c r="K324" s="30"/>
    </row>
    <row r="325">
      <c r="A325" s="37"/>
      <c r="B325" s="7"/>
      <c r="C325" s="25"/>
      <c r="D325" s="9"/>
      <c r="H325" s="30"/>
      <c r="I325" s="30"/>
      <c r="J325" s="31"/>
      <c r="K325" s="30"/>
    </row>
    <row r="326">
      <c r="A326" s="37"/>
      <c r="B326" s="7"/>
      <c r="C326" s="25"/>
      <c r="D326" s="9"/>
      <c r="H326" s="30"/>
      <c r="I326" s="30"/>
      <c r="J326" s="31"/>
      <c r="K326" s="30"/>
    </row>
    <row r="327">
      <c r="A327" s="37"/>
      <c r="B327" s="7"/>
      <c r="C327" s="25"/>
      <c r="D327" s="9"/>
      <c r="H327" s="30"/>
      <c r="I327" s="30"/>
      <c r="J327" s="31"/>
      <c r="K327" s="30"/>
    </row>
    <row r="328">
      <c r="A328" s="37"/>
      <c r="B328" s="7"/>
      <c r="C328" s="25"/>
      <c r="D328" s="9"/>
      <c r="H328" s="30"/>
      <c r="I328" s="30"/>
      <c r="J328" s="31"/>
      <c r="K328" s="30"/>
    </row>
    <row r="329">
      <c r="A329" s="37"/>
      <c r="B329" s="7"/>
      <c r="C329" s="25"/>
      <c r="D329" s="9"/>
      <c r="H329" s="30"/>
      <c r="I329" s="30"/>
      <c r="J329" s="31"/>
      <c r="K329" s="30"/>
    </row>
    <row r="330">
      <c r="A330" s="37"/>
      <c r="B330" s="7"/>
      <c r="C330" s="25"/>
      <c r="D330" s="9"/>
      <c r="H330" s="30"/>
      <c r="I330" s="30"/>
      <c r="J330" s="31"/>
      <c r="K330" s="30"/>
    </row>
    <row r="331">
      <c r="A331" s="37"/>
      <c r="B331" s="7"/>
      <c r="C331" s="25"/>
      <c r="D331" s="9"/>
      <c r="H331" s="30"/>
      <c r="I331" s="30"/>
      <c r="J331" s="31"/>
      <c r="K331" s="30"/>
    </row>
    <row r="332">
      <c r="A332" s="37"/>
      <c r="B332" s="7"/>
      <c r="C332" s="25"/>
      <c r="D332" s="9"/>
      <c r="H332" s="30"/>
      <c r="I332" s="30"/>
      <c r="J332" s="31"/>
      <c r="K332" s="30"/>
    </row>
    <row r="333">
      <c r="A333" s="37"/>
      <c r="B333" s="7"/>
      <c r="C333" s="25"/>
      <c r="D333" s="9"/>
      <c r="H333" s="30"/>
      <c r="I333" s="30"/>
      <c r="J333" s="31"/>
      <c r="K333" s="30"/>
    </row>
    <row r="334">
      <c r="A334" s="37"/>
      <c r="B334" s="7"/>
      <c r="C334" s="25"/>
      <c r="D334" s="9"/>
      <c r="H334" s="30"/>
      <c r="I334" s="30"/>
      <c r="J334" s="31"/>
      <c r="K334" s="30"/>
    </row>
    <row r="335">
      <c r="A335" s="37"/>
      <c r="B335" s="7"/>
      <c r="C335" s="25"/>
      <c r="D335" s="9"/>
      <c r="H335" s="30"/>
      <c r="I335" s="30"/>
      <c r="J335" s="31"/>
      <c r="K335" s="30"/>
    </row>
    <row r="336">
      <c r="A336" s="37"/>
      <c r="B336" s="7"/>
      <c r="C336" s="25"/>
      <c r="D336" s="9"/>
      <c r="H336" s="30"/>
      <c r="I336" s="30"/>
      <c r="J336" s="31"/>
      <c r="K336" s="30"/>
    </row>
    <row r="337">
      <c r="A337" s="37"/>
      <c r="B337" s="7"/>
      <c r="C337" s="25"/>
      <c r="D337" s="9"/>
      <c r="H337" s="30"/>
      <c r="I337" s="30"/>
      <c r="J337" s="31"/>
      <c r="K337" s="30"/>
    </row>
    <row r="338">
      <c r="A338" s="37"/>
      <c r="B338" s="7"/>
      <c r="C338" s="25"/>
      <c r="D338" s="9"/>
      <c r="H338" s="30"/>
      <c r="I338" s="30"/>
      <c r="J338" s="31"/>
      <c r="K338" s="30"/>
    </row>
    <row r="339">
      <c r="A339" s="37"/>
      <c r="B339" s="7"/>
      <c r="C339" s="25"/>
      <c r="D339" s="9"/>
      <c r="H339" s="30"/>
      <c r="I339" s="30"/>
      <c r="J339" s="31"/>
      <c r="K339" s="30"/>
    </row>
    <row r="340">
      <c r="A340" s="37"/>
      <c r="B340" s="7"/>
      <c r="C340" s="25"/>
      <c r="D340" s="9"/>
      <c r="H340" s="30"/>
      <c r="I340" s="30"/>
      <c r="J340" s="31"/>
      <c r="K340" s="30"/>
    </row>
    <row r="341">
      <c r="A341" s="37"/>
      <c r="B341" s="7"/>
      <c r="C341" s="25"/>
      <c r="D341" s="9"/>
      <c r="H341" s="30"/>
      <c r="I341" s="30"/>
      <c r="J341" s="31"/>
      <c r="K341" s="30"/>
    </row>
    <row r="342">
      <c r="A342" s="37"/>
      <c r="B342" s="7"/>
      <c r="C342" s="25"/>
      <c r="D342" s="9"/>
      <c r="H342" s="30"/>
      <c r="I342" s="30"/>
      <c r="J342" s="31"/>
      <c r="K342" s="30"/>
    </row>
    <row r="343">
      <c r="A343" s="37"/>
      <c r="B343" s="7"/>
      <c r="C343" s="25"/>
      <c r="D343" s="9"/>
      <c r="H343" s="30"/>
      <c r="I343" s="30"/>
      <c r="J343" s="31"/>
      <c r="K343" s="30"/>
    </row>
    <row r="344">
      <c r="A344" s="37"/>
      <c r="B344" s="7"/>
      <c r="C344" s="25"/>
      <c r="D344" s="9"/>
      <c r="H344" s="30"/>
      <c r="I344" s="30"/>
      <c r="J344" s="31"/>
      <c r="K344" s="30"/>
    </row>
    <row r="345">
      <c r="A345" s="37"/>
      <c r="B345" s="7"/>
      <c r="C345" s="25"/>
      <c r="D345" s="9"/>
      <c r="H345" s="30"/>
      <c r="I345" s="30"/>
      <c r="J345" s="31"/>
      <c r="K345" s="30"/>
    </row>
    <row r="346">
      <c r="A346" s="37"/>
      <c r="B346" s="7"/>
      <c r="C346" s="25"/>
      <c r="D346" s="9"/>
      <c r="H346" s="30"/>
      <c r="I346" s="30"/>
      <c r="J346" s="31"/>
      <c r="K346" s="30"/>
    </row>
    <row r="347">
      <c r="A347" s="37"/>
      <c r="B347" s="7"/>
      <c r="C347" s="25"/>
      <c r="D347" s="9"/>
      <c r="H347" s="30"/>
      <c r="I347" s="30"/>
      <c r="J347" s="31"/>
      <c r="K347" s="30"/>
    </row>
    <row r="348">
      <c r="A348" s="37"/>
      <c r="B348" s="7"/>
      <c r="C348" s="25"/>
      <c r="D348" s="9"/>
      <c r="H348" s="30"/>
      <c r="I348" s="30"/>
      <c r="J348" s="31"/>
      <c r="K348" s="30"/>
    </row>
    <row r="349">
      <c r="A349" s="37"/>
      <c r="B349" s="7"/>
      <c r="C349" s="25"/>
      <c r="D349" s="9"/>
      <c r="H349" s="30"/>
      <c r="I349" s="30"/>
      <c r="J349" s="31"/>
      <c r="K349" s="30"/>
    </row>
    <row r="350">
      <c r="A350" s="37"/>
      <c r="B350" s="7"/>
      <c r="C350" s="25"/>
      <c r="D350" s="9"/>
      <c r="H350" s="30"/>
      <c r="I350" s="30"/>
      <c r="J350" s="31"/>
      <c r="K350" s="30"/>
    </row>
    <row r="351">
      <c r="A351" s="37"/>
      <c r="B351" s="7"/>
      <c r="C351" s="25"/>
      <c r="D351" s="9"/>
      <c r="H351" s="30"/>
      <c r="I351" s="30"/>
      <c r="J351" s="31"/>
      <c r="K351" s="30"/>
    </row>
    <row r="352">
      <c r="A352" s="37"/>
      <c r="B352" s="7"/>
      <c r="C352" s="25"/>
      <c r="D352" s="9"/>
      <c r="H352" s="30"/>
      <c r="I352" s="30"/>
      <c r="J352" s="31"/>
      <c r="K352" s="30"/>
    </row>
    <row r="353">
      <c r="A353" s="37"/>
      <c r="B353" s="7"/>
      <c r="C353" s="25"/>
      <c r="D353" s="9"/>
      <c r="H353" s="30"/>
      <c r="I353" s="30"/>
      <c r="J353" s="31"/>
      <c r="K353" s="30"/>
    </row>
    <row r="354">
      <c r="A354" s="37"/>
      <c r="B354" s="7"/>
      <c r="C354" s="25"/>
      <c r="D354" s="9"/>
      <c r="H354" s="30"/>
      <c r="I354" s="30"/>
      <c r="J354" s="31"/>
      <c r="K354" s="30"/>
    </row>
    <row r="355">
      <c r="A355" s="37"/>
      <c r="B355" s="7"/>
      <c r="C355" s="25"/>
      <c r="D355" s="9"/>
      <c r="H355" s="30"/>
      <c r="I355" s="30"/>
      <c r="J355" s="31"/>
      <c r="K355" s="30"/>
    </row>
    <row r="356">
      <c r="A356" s="37"/>
      <c r="B356" s="7"/>
      <c r="C356" s="25"/>
      <c r="D356" s="9"/>
      <c r="H356" s="30"/>
      <c r="I356" s="30"/>
      <c r="J356" s="31"/>
      <c r="K356" s="30"/>
    </row>
    <row r="357">
      <c r="A357" s="37"/>
      <c r="B357" s="7"/>
      <c r="C357" s="25"/>
      <c r="D357" s="9"/>
      <c r="H357" s="30"/>
      <c r="I357" s="30"/>
      <c r="J357" s="31"/>
      <c r="K357" s="30"/>
    </row>
    <row r="358">
      <c r="A358" s="37"/>
      <c r="B358" s="7"/>
      <c r="C358" s="25"/>
      <c r="D358" s="9"/>
      <c r="H358" s="30"/>
      <c r="I358" s="30"/>
      <c r="J358" s="31"/>
      <c r="K358" s="30"/>
    </row>
    <row r="359">
      <c r="A359" s="37"/>
      <c r="B359" s="7"/>
      <c r="C359" s="25"/>
      <c r="D359" s="9"/>
      <c r="H359" s="30"/>
      <c r="I359" s="30"/>
      <c r="J359" s="31"/>
      <c r="K359" s="30"/>
    </row>
    <row r="360">
      <c r="A360" s="37"/>
      <c r="B360" s="7"/>
      <c r="C360" s="25"/>
      <c r="D360" s="9"/>
      <c r="H360" s="30"/>
      <c r="I360" s="30"/>
      <c r="J360" s="31"/>
      <c r="K360" s="30"/>
    </row>
    <row r="361">
      <c r="A361" s="37"/>
      <c r="B361" s="7"/>
      <c r="C361" s="25"/>
      <c r="D361" s="9"/>
      <c r="H361" s="30"/>
      <c r="I361" s="30"/>
      <c r="J361" s="31"/>
      <c r="K361" s="30"/>
    </row>
    <row r="362">
      <c r="A362" s="37"/>
      <c r="B362" s="7"/>
      <c r="C362" s="25"/>
      <c r="D362" s="9"/>
      <c r="H362" s="30"/>
      <c r="I362" s="30"/>
      <c r="J362" s="31"/>
      <c r="K362" s="30"/>
    </row>
    <row r="363">
      <c r="A363" s="37"/>
      <c r="B363" s="7"/>
      <c r="C363" s="25"/>
      <c r="D363" s="9"/>
      <c r="H363" s="30"/>
      <c r="I363" s="30"/>
      <c r="J363" s="31"/>
      <c r="K363" s="30"/>
    </row>
    <row r="364">
      <c r="A364" s="37"/>
      <c r="B364" s="7"/>
      <c r="C364" s="25"/>
      <c r="D364" s="9"/>
      <c r="H364" s="30"/>
      <c r="I364" s="30"/>
      <c r="J364" s="31"/>
      <c r="K364" s="30"/>
    </row>
    <row r="365">
      <c r="A365" s="37"/>
      <c r="B365" s="7"/>
      <c r="C365" s="25"/>
      <c r="D365" s="9"/>
      <c r="H365" s="30"/>
      <c r="I365" s="30"/>
      <c r="J365" s="31"/>
      <c r="K365" s="30"/>
    </row>
    <row r="366">
      <c r="A366" s="37"/>
      <c r="B366" s="7"/>
      <c r="C366" s="25"/>
      <c r="D366" s="9"/>
      <c r="H366" s="30"/>
      <c r="I366" s="30"/>
      <c r="J366" s="31"/>
      <c r="K366" s="30"/>
    </row>
    <row r="367">
      <c r="A367" s="37"/>
      <c r="B367" s="7"/>
      <c r="C367" s="25"/>
      <c r="D367" s="9"/>
      <c r="H367" s="30"/>
      <c r="I367" s="30"/>
      <c r="J367" s="31"/>
      <c r="K367" s="30"/>
    </row>
    <row r="368">
      <c r="A368" s="37"/>
      <c r="B368" s="7"/>
      <c r="C368" s="25"/>
      <c r="D368" s="9"/>
      <c r="H368" s="30"/>
      <c r="I368" s="30"/>
      <c r="J368" s="31"/>
      <c r="K368" s="30"/>
    </row>
    <row r="369">
      <c r="A369" s="37"/>
      <c r="B369" s="7"/>
      <c r="C369" s="25"/>
      <c r="D369" s="9"/>
      <c r="H369" s="30"/>
      <c r="I369" s="30"/>
      <c r="J369" s="31"/>
      <c r="K369" s="30"/>
    </row>
    <row r="370">
      <c r="A370" s="37"/>
      <c r="B370" s="7"/>
      <c r="C370" s="25"/>
      <c r="D370" s="9"/>
      <c r="H370" s="30"/>
      <c r="I370" s="30"/>
      <c r="J370" s="31"/>
      <c r="K370" s="30"/>
    </row>
    <row r="371">
      <c r="A371" s="37"/>
      <c r="B371" s="7"/>
      <c r="C371" s="25"/>
      <c r="D371" s="9"/>
      <c r="H371" s="30"/>
      <c r="I371" s="30"/>
      <c r="J371" s="31"/>
      <c r="K371" s="30"/>
    </row>
    <row r="372">
      <c r="A372" s="37"/>
      <c r="B372" s="7"/>
      <c r="C372" s="25"/>
      <c r="D372" s="9"/>
      <c r="H372" s="30"/>
      <c r="I372" s="30"/>
      <c r="J372" s="31"/>
      <c r="K372" s="30"/>
    </row>
    <row r="373">
      <c r="A373" s="37"/>
      <c r="B373" s="7"/>
      <c r="C373" s="25"/>
      <c r="D373" s="9"/>
      <c r="H373" s="30"/>
      <c r="I373" s="30"/>
      <c r="J373" s="31"/>
      <c r="K373" s="30"/>
    </row>
    <row r="374">
      <c r="A374" s="37"/>
      <c r="B374" s="7"/>
      <c r="C374" s="25"/>
      <c r="D374" s="9"/>
      <c r="H374" s="30"/>
      <c r="I374" s="30"/>
      <c r="J374" s="31"/>
      <c r="K374" s="30"/>
    </row>
    <row r="375">
      <c r="A375" s="37"/>
      <c r="B375" s="7"/>
      <c r="C375" s="25"/>
      <c r="D375" s="9"/>
      <c r="H375" s="30"/>
      <c r="I375" s="30"/>
      <c r="J375" s="31"/>
      <c r="K375" s="30"/>
    </row>
    <row r="376">
      <c r="A376" s="37"/>
      <c r="B376" s="7"/>
      <c r="C376" s="25"/>
      <c r="D376" s="9"/>
      <c r="H376" s="30"/>
      <c r="I376" s="30"/>
      <c r="J376" s="31"/>
      <c r="K376" s="30"/>
    </row>
    <row r="377">
      <c r="A377" s="37"/>
      <c r="B377" s="7"/>
      <c r="C377" s="25"/>
      <c r="D377" s="9"/>
      <c r="H377" s="30"/>
      <c r="I377" s="30"/>
      <c r="J377" s="31"/>
      <c r="K377" s="30"/>
    </row>
    <row r="378">
      <c r="A378" s="37"/>
      <c r="B378" s="7"/>
      <c r="C378" s="25"/>
      <c r="D378" s="9"/>
      <c r="H378" s="30"/>
      <c r="I378" s="30"/>
      <c r="J378" s="31"/>
      <c r="K378" s="30"/>
    </row>
    <row r="379">
      <c r="A379" s="37"/>
      <c r="B379" s="7"/>
      <c r="C379" s="25"/>
      <c r="D379" s="9"/>
      <c r="H379" s="30"/>
      <c r="I379" s="30"/>
      <c r="J379" s="31"/>
      <c r="K379" s="30"/>
    </row>
    <row r="380">
      <c r="A380" s="37"/>
      <c r="B380" s="7"/>
      <c r="C380" s="25"/>
      <c r="D380" s="9"/>
      <c r="H380" s="30"/>
      <c r="I380" s="30"/>
      <c r="J380" s="31"/>
      <c r="K380" s="30"/>
    </row>
    <row r="381">
      <c r="A381" s="37"/>
      <c r="B381" s="7"/>
      <c r="C381" s="25"/>
      <c r="D381" s="9"/>
      <c r="H381" s="30"/>
      <c r="I381" s="30"/>
      <c r="J381" s="31"/>
      <c r="K381" s="30"/>
    </row>
    <row r="382">
      <c r="A382" s="37"/>
      <c r="B382" s="7"/>
      <c r="C382" s="25"/>
      <c r="D382" s="9"/>
      <c r="H382" s="30"/>
      <c r="I382" s="30"/>
      <c r="J382" s="31"/>
      <c r="K382" s="30"/>
    </row>
    <row r="383">
      <c r="A383" s="37"/>
      <c r="B383" s="7"/>
      <c r="C383" s="25"/>
      <c r="D383" s="9"/>
      <c r="H383" s="30"/>
      <c r="I383" s="30"/>
      <c r="J383" s="31"/>
      <c r="K383" s="30"/>
    </row>
    <row r="384">
      <c r="A384" s="37"/>
      <c r="B384" s="7"/>
      <c r="C384" s="25"/>
      <c r="D384" s="9"/>
      <c r="H384" s="30"/>
      <c r="I384" s="30"/>
      <c r="J384" s="31"/>
      <c r="K384" s="30"/>
    </row>
    <row r="385">
      <c r="A385" s="37"/>
      <c r="B385" s="7"/>
      <c r="C385" s="25"/>
      <c r="D385" s="9"/>
      <c r="H385" s="30"/>
      <c r="I385" s="30"/>
      <c r="J385" s="31"/>
      <c r="K385" s="30"/>
    </row>
    <row r="386">
      <c r="A386" s="37"/>
      <c r="B386" s="7"/>
      <c r="C386" s="25"/>
      <c r="D386" s="9"/>
      <c r="H386" s="30"/>
      <c r="I386" s="30"/>
      <c r="J386" s="31"/>
      <c r="K386" s="30"/>
    </row>
    <row r="387">
      <c r="A387" s="37"/>
      <c r="B387" s="7"/>
      <c r="C387" s="25"/>
      <c r="D387" s="9"/>
      <c r="H387" s="30"/>
      <c r="I387" s="30"/>
      <c r="J387" s="31"/>
      <c r="K387" s="30"/>
    </row>
    <row r="388">
      <c r="A388" s="37"/>
      <c r="B388" s="7"/>
      <c r="C388" s="25"/>
      <c r="D388" s="9"/>
      <c r="H388" s="30"/>
      <c r="I388" s="30"/>
      <c r="J388" s="31"/>
      <c r="K388" s="30"/>
    </row>
    <row r="389">
      <c r="A389" s="37"/>
      <c r="B389" s="7"/>
      <c r="C389" s="25"/>
      <c r="D389" s="9"/>
      <c r="H389" s="30"/>
      <c r="I389" s="30"/>
      <c r="J389" s="31"/>
      <c r="K389" s="30"/>
    </row>
    <row r="390">
      <c r="A390" s="37"/>
      <c r="B390" s="7"/>
      <c r="C390" s="25"/>
      <c r="D390" s="9"/>
      <c r="H390" s="30"/>
      <c r="I390" s="30"/>
      <c r="J390" s="31"/>
      <c r="K390" s="30"/>
    </row>
    <row r="391">
      <c r="A391" s="37"/>
      <c r="B391" s="7"/>
      <c r="C391" s="25"/>
      <c r="D391" s="9"/>
      <c r="H391" s="30"/>
      <c r="I391" s="30"/>
      <c r="J391" s="31"/>
      <c r="K391" s="30"/>
    </row>
    <row r="392">
      <c r="A392" s="37"/>
      <c r="B392" s="7"/>
      <c r="C392" s="25"/>
      <c r="D392" s="9"/>
      <c r="H392" s="30"/>
      <c r="I392" s="30"/>
      <c r="J392" s="31"/>
      <c r="K392" s="30"/>
    </row>
    <row r="393">
      <c r="A393" s="37"/>
      <c r="B393" s="7"/>
      <c r="C393" s="25"/>
      <c r="D393" s="9"/>
      <c r="H393" s="30"/>
      <c r="I393" s="30"/>
      <c r="J393" s="31"/>
      <c r="K393" s="30"/>
    </row>
    <row r="394">
      <c r="A394" s="37"/>
      <c r="B394" s="7"/>
      <c r="C394" s="25"/>
      <c r="D394" s="9"/>
      <c r="H394" s="30"/>
      <c r="I394" s="30"/>
      <c r="J394" s="31"/>
      <c r="K394" s="30"/>
    </row>
    <row r="395">
      <c r="A395" s="37"/>
      <c r="B395" s="7"/>
      <c r="C395" s="25"/>
      <c r="D395" s="9"/>
      <c r="H395" s="30"/>
      <c r="I395" s="30"/>
      <c r="J395" s="31"/>
      <c r="K395" s="30"/>
    </row>
    <row r="396">
      <c r="A396" s="37"/>
      <c r="B396" s="7"/>
      <c r="C396" s="25"/>
      <c r="D396" s="9"/>
      <c r="H396" s="30"/>
      <c r="I396" s="30"/>
      <c r="J396" s="31"/>
      <c r="K396" s="30"/>
    </row>
    <row r="397">
      <c r="A397" s="37"/>
      <c r="B397" s="7"/>
      <c r="C397" s="25"/>
      <c r="D397" s="9"/>
      <c r="H397" s="30"/>
      <c r="I397" s="30"/>
      <c r="J397" s="31"/>
      <c r="K397" s="30"/>
    </row>
    <row r="398">
      <c r="A398" s="37"/>
      <c r="B398" s="7"/>
      <c r="C398" s="25"/>
      <c r="D398" s="9"/>
      <c r="H398" s="30"/>
      <c r="I398" s="30"/>
      <c r="J398" s="31"/>
      <c r="K398" s="30"/>
    </row>
    <row r="399">
      <c r="A399" s="37"/>
      <c r="B399" s="7"/>
      <c r="C399" s="25"/>
      <c r="D399" s="9"/>
      <c r="H399" s="30"/>
      <c r="I399" s="30"/>
      <c r="J399" s="31"/>
      <c r="K399" s="30"/>
    </row>
    <row r="400">
      <c r="A400" s="37"/>
      <c r="B400" s="7"/>
      <c r="C400" s="25"/>
      <c r="D400" s="9"/>
      <c r="H400" s="30"/>
      <c r="I400" s="30"/>
      <c r="J400" s="31"/>
      <c r="K400" s="30"/>
    </row>
    <row r="401">
      <c r="A401" s="37"/>
      <c r="B401" s="7"/>
      <c r="C401" s="25"/>
      <c r="D401" s="9"/>
      <c r="H401" s="30"/>
      <c r="I401" s="30"/>
      <c r="J401" s="31"/>
      <c r="K401" s="30"/>
    </row>
    <row r="402">
      <c r="A402" s="37"/>
      <c r="B402" s="7"/>
      <c r="C402" s="25"/>
      <c r="D402" s="9"/>
      <c r="H402" s="30"/>
      <c r="I402" s="30"/>
      <c r="J402" s="31"/>
      <c r="K402" s="30"/>
    </row>
    <row r="403">
      <c r="A403" s="37"/>
      <c r="B403" s="7"/>
      <c r="C403" s="25"/>
      <c r="D403" s="9"/>
      <c r="H403" s="30"/>
      <c r="I403" s="30"/>
      <c r="J403" s="31"/>
      <c r="K403" s="30"/>
    </row>
    <row r="404">
      <c r="A404" s="37"/>
      <c r="B404" s="7"/>
      <c r="C404" s="25"/>
      <c r="D404" s="9"/>
      <c r="H404" s="30"/>
      <c r="I404" s="30"/>
      <c r="J404" s="31"/>
      <c r="K404" s="30"/>
    </row>
    <row r="405">
      <c r="A405" s="37"/>
      <c r="B405" s="7"/>
      <c r="C405" s="25"/>
      <c r="D405" s="9"/>
      <c r="H405" s="30"/>
      <c r="I405" s="30"/>
      <c r="J405" s="31"/>
      <c r="K405" s="30"/>
    </row>
    <row r="406">
      <c r="A406" s="37"/>
      <c r="B406" s="7"/>
      <c r="C406" s="25"/>
      <c r="D406" s="9"/>
      <c r="H406" s="30"/>
      <c r="I406" s="30"/>
      <c r="J406" s="31"/>
      <c r="K406" s="30"/>
    </row>
    <row r="407">
      <c r="A407" s="37"/>
      <c r="B407" s="7"/>
      <c r="C407" s="25"/>
      <c r="D407" s="9"/>
      <c r="H407" s="30"/>
      <c r="I407" s="30"/>
      <c r="J407" s="31"/>
      <c r="K407" s="30"/>
    </row>
    <row r="408">
      <c r="A408" s="37"/>
      <c r="B408" s="7"/>
      <c r="C408" s="25"/>
      <c r="D408" s="9"/>
      <c r="H408" s="30"/>
      <c r="I408" s="30"/>
      <c r="J408" s="31"/>
      <c r="K408" s="30"/>
    </row>
    <row r="409">
      <c r="A409" s="37"/>
      <c r="B409" s="7"/>
      <c r="C409" s="25"/>
      <c r="D409" s="9"/>
      <c r="H409" s="30"/>
      <c r="I409" s="30"/>
      <c r="J409" s="31"/>
      <c r="K409" s="30"/>
    </row>
    <row r="410">
      <c r="A410" s="37"/>
      <c r="B410" s="7"/>
      <c r="C410" s="25"/>
      <c r="D410" s="9"/>
      <c r="H410" s="30"/>
      <c r="I410" s="30"/>
      <c r="J410" s="31"/>
      <c r="K410" s="30"/>
    </row>
    <row r="411">
      <c r="A411" s="37"/>
      <c r="B411" s="7"/>
      <c r="C411" s="25"/>
      <c r="D411" s="9"/>
      <c r="H411" s="30"/>
      <c r="I411" s="30"/>
      <c r="J411" s="31"/>
      <c r="K411" s="30"/>
    </row>
    <row r="412">
      <c r="A412" s="37"/>
      <c r="B412" s="7"/>
      <c r="C412" s="25"/>
      <c r="D412" s="9"/>
      <c r="H412" s="30"/>
      <c r="I412" s="30"/>
      <c r="J412" s="31"/>
      <c r="K412" s="30"/>
    </row>
    <row r="413">
      <c r="A413" s="37"/>
      <c r="B413" s="7"/>
      <c r="C413" s="25"/>
      <c r="D413" s="9"/>
      <c r="H413" s="30"/>
      <c r="I413" s="30"/>
      <c r="J413" s="31"/>
      <c r="K413" s="30"/>
    </row>
    <row r="414">
      <c r="A414" s="37"/>
      <c r="B414" s="7"/>
      <c r="C414" s="25"/>
      <c r="D414" s="9"/>
      <c r="H414" s="30"/>
      <c r="I414" s="30"/>
      <c r="J414" s="31"/>
      <c r="K414" s="30"/>
    </row>
    <row r="415">
      <c r="A415" s="37"/>
      <c r="B415" s="7"/>
      <c r="C415" s="25"/>
      <c r="D415" s="9"/>
      <c r="H415" s="30"/>
      <c r="I415" s="30"/>
      <c r="J415" s="31"/>
      <c r="K415" s="30"/>
    </row>
    <row r="416">
      <c r="A416" s="37"/>
      <c r="B416" s="7"/>
      <c r="C416" s="25"/>
      <c r="D416" s="9"/>
      <c r="H416" s="30"/>
      <c r="I416" s="30"/>
      <c r="J416" s="31"/>
      <c r="K416" s="30"/>
    </row>
    <row r="417">
      <c r="A417" s="37"/>
      <c r="B417" s="7"/>
      <c r="C417" s="25"/>
      <c r="D417" s="9"/>
      <c r="H417" s="30"/>
      <c r="I417" s="30"/>
      <c r="J417" s="31"/>
      <c r="K417" s="30"/>
    </row>
    <row r="418">
      <c r="A418" s="37"/>
      <c r="B418" s="7"/>
      <c r="C418" s="25"/>
      <c r="D418" s="9"/>
      <c r="H418" s="30"/>
      <c r="I418" s="30"/>
      <c r="J418" s="31"/>
      <c r="K418" s="30"/>
    </row>
    <row r="419">
      <c r="A419" s="37"/>
      <c r="B419" s="7"/>
      <c r="C419" s="25"/>
      <c r="D419" s="9"/>
      <c r="H419" s="30"/>
      <c r="I419" s="30"/>
      <c r="J419" s="31"/>
      <c r="K419" s="30"/>
    </row>
    <row r="420">
      <c r="A420" s="37"/>
      <c r="B420" s="7"/>
      <c r="C420" s="25"/>
      <c r="D420" s="9"/>
      <c r="H420" s="30"/>
      <c r="I420" s="30"/>
      <c r="J420" s="31"/>
      <c r="K420" s="30"/>
    </row>
    <row r="421">
      <c r="A421" s="37"/>
      <c r="B421" s="7"/>
      <c r="C421" s="25"/>
      <c r="D421" s="9"/>
      <c r="H421" s="30"/>
      <c r="I421" s="30"/>
      <c r="J421" s="31"/>
      <c r="K421" s="30"/>
    </row>
    <row r="422">
      <c r="A422" s="37"/>
      <c r="B422" s="7"/>
      <c r="C422" s="25"/>
      <c r="D422" s="9"/>
      <c r="H422" s="30"/>
      <c r="I422" s="30"/>
      <c r="J422" s="31"/>
      <c r="K422" s="30"/>
    </row>
    <row r="423">
      <c r="A423" s="37"/>
      <c r="B423" s="7"/>
      <c r="C423" s="25"/>
      <c r="D423" s="9"/>
      <c r="H423" s="30"/>
      <c r="I423" s="30"/>
      <c r="J423" s="31"/>
      <c r="K423" s="30"/>
    </row>
    <row r="424">
      <c r="A424" s="37"/>
      <c r="B424" s="7"/>
      <c r="C424" s="25"/>
      <c r="D424" s="9"/>
      <c r="H424" s="30"/>
      <c r="I424" s="30"/>
      <c r="J424" s="31"/>
      <c r="K424" s="30"/>
    </row>
    <row r="425">
      <c r="A425" s="37"/>
      <c r="B425" s="7"/>
      <c r="C425" s="25"/>
      <c r="D425" s="9"/>
      <c r="H425" s="30"/>
      <c r="I425" s="30"/>
      <c r="J425" s="31"/>
      <c r="K425" s="30"/>
    </row>
    <row r="426">
      <c r="A426" s="37"/>
      <c r="B426" s="7"/>
      <c r="C426" s="25"/>
      <c r="D426" s="9"/>
      <c r="H426" s="30"/>
      <c r="I426" s="30"/>
      <c r="J426" s="31"/>
      <c r="K426" s="30"/>
    </row>
    <row r="427">
      <c r="A427" s="37"/>
      <c r="B427" s="7"/>
      <c r="C427" s="25"/>
      <c r="D427" s="9"/>
      <c r="H427" s="30"/>
      <c r="I427" s="30"/>
      <c r="J427" s="31"/>
      <c r="K427" s="30"/>
    </row>
    <row r="428">
      <c r="A428" s="37"/>
      <c r="B428" s="7"/>
      <c r="C428" s="25"/>
      <c r="D428" s="9"/>
      <c r="H428" s="30"/>
      <c r="I428" s="30"/>
      <c r="J428" s="31"/>
      <c r="K428" s="30"/>
    </row>
    <row r="429">
      <c r="A429" s="37"/>
      <c r="B429" s="7"/>
      <c r="C429" s="25"/>
      <c r="D429" s="9"/>
      <c r="H429" s="30"/>
      <c r="I429" s="30"/>
      <c r="J429" s="31"/>
      <c r="K429" s="30"/>
    </row>
    <row r="430">
      <c r="A430" s="37"/>
      <c r="B430" s="7"/>
      <c r="C430" s="25"/>
      <c r="D430" s="9"/>
      <c r="H430" s="30"/>
      <c r="I430" s="30"/>
      <c r="J430" s="31"/>
      <c r="K430" s="30"/>
    </row>
    <row r="431">
      <c r="A431" s="37"/>
      <c r="B431" s="7"/>
      <c r="C431" s="25"/>
      <c r="D431" s="9"/>
      <c r="H431" s="30"/>
      <c r="I431" s="30"/>
      <c r="J431" s="31"/>
      <c r="K431" s="30"/>
    </row>
    <row r="432">
      <c r="A432" s="37"/>
      <c r="B432" s="7"/>
      <c r="C432" s="25"/>
      <c r="D432" s="9"/>
      <c r="H432" s="30"/>
      <c r="I432" s="30"/>
      <c r="J432" s="31"/>
      <c r="K432" s="30"/>
    </row>
    <row r="433">
      <c r="A433" s="37"/>
      <c r="B433" s="7"/>
      <c r="C433" s="25"/>
      <c r="D433" s="9"/>
      <c r="H433" s="30"/>
      <c r="I433" s="30"/>
      <c r="J433" s="31"/>
      <c r="K433" s="30"/>
    </row>
    <row r="434">
      <c r="A434" s="37"/>
      <c r="B434" s="7"/>
      <c r="C434" s="25"/>
      <c r="D434" s="9"/>
      <c r="H434" s="30"/>
      <c r="I434" s="30"/>
      <c r="J434" s="31"/>
      <c r="K434" s="30"/>
    </row>
    <row r="435">
      <c r="A435" s="37"/>
      <c r="B435" s="7"/>
      <c r="C435" s="25"/>
      <c r="D435" s="9"/>
      <c r="H435" s="30"/>
      <c r="I435" s="30"/>
      <c r="J435" s="31"/>
      <c r="K435" s="30"/>
    </row>
    <row r="436">
      <c r="A436" s="37"/>
      <c r="B436" s="7"/>
      <c r="C436" s="25"/>
      <c r="D436" s="9"/>
      <c r="H436" s="30"/>
      <c r="I436" s="30"/>
      <c r="J436" s="31"/>
      <c r="K436" s="30"/>
    </row>
    <row r="437">
      <c r="A437" s="37"/>
      <c r="B437" s="7"/>
      <c r="C437" s="25"/>
      <c r="D437" s="9"/>
      <c r="H437" s="30"/>
      <c r="I437" s="30"/>
      <c r="J437" s="31"/>
      <c r="K437" s="30"/>
    </row>
    <row r="438">
      <c r="A438" s="37"/>
      <c r="B438" s="7"/>
      <c r="C438" s="25"/>
      <c r="D438" s="9"/>
      <c r="H438" s="30"/>
      <c r="I438" s="30"/>
      <c r="J438" s="31"/>
      <c r="K438" s="30"/>
    </row>
    <row r="439">
      <c r="A439" s="37"/>
      <c r="B439" s="7"/>
      <c r="C439" s="25"/>
      <c r="D439" s="9"/>
      <c r="H439" s="30"/>
      <c r="I439" s="30"/>
      <c r="J439" s="31"/>
      <c r="K439" s="30"/>
    </row>
    <row r="440">
      <c r="A440" s="37"/>
      <c r="B440" s="7"/>
      <c r="C440" s="25"/>
      <c r="D440" s="9"/>
      <c r="H440" s="30"/>
      <c r="I440" s="30"/>
      <c r="J440" s="31"/>
      <c r="K440" s="30"/>
    </row>
    <row r="441">
      <c r="A441" s="37"/>
      <c r="B441" s="7"/>
      <c r="C441" s="25"/>
      <c r="D441" s="9"/>
      <c r="H441" s="30"/>
      <c r="I441" s="30"/>
      <c r="J441" s="31"/>
      <c r="K441" s="30"/>
    </row>
    <row r="442">
      <c r="A442" s="37"/>
      <c r="B442" s="7"/>
      <c r="C442" s="25"/>
      <c r="D442" s="9"/>
      <c r="H442" s="30"/>
      <c r="I442" s="30"/>
      <c r="J442" s="31"/>
      <c r="K442" s="30"/>
    </row>
    <row r="443">
      <c r="A443" s="37"/>
      <c r="B443" s="7"/>
      <c r="C443" s="25"/>
      <c r="D443" s="9"/>
      <c r="H443" s="30"/>
      <c r="I443" s="30"/>
      <c r="J443" s="31"/>
      <c r="K443" s="30"/>
    </row>
    <row r="444">
      <c r="A444" s="37"/>
      <c r="B444" s="7"/>
      <c r="C444" s="25"/>
      <c r="D444" s="9"/>
      <c r="H444" s="30"/>
      <c r="I444" s="30"/>
      <c r="J444" s="31"/>
      <c r="K444" s="30"/>
    </row>
    <row r="445">
      <c r="A445" s="37"/>
      <c r="B445" s="7"/>
      <c r="C445" s="25"/>
      <c r="D445" s="9"/>
      <c r="H445" s="30"/>
      <c r="I445" s="30"/>
      <c r="J445" s="31"/>
      <c r="K445" s="30"/>
    </row>
    <row r="446">
      <c r="A446" s="37"/>
      <c r="B446" s="7"/>
      <c r="C446" s="25"/>
      <c r="D446" s="9"/>
      <c r="H446" s="30"/>
      <c r="I446" s="30"/>
      <c r="J446" s="31"/>
      <c r="K446" s="30"/>
    </row>
    <row r="447">
      <c r="A447" s="37"/>
      <c r="B447" s="7"/>
      <c r="C447" s="25"/>
      <c r="D447" s="9"/>
      <c r="H447" s="30"/>
      <c r="I447" s="30"/>
      <c r="J447" s="31"/>
      <c r="K447" s="30"/>
    </row>
    <row r="448">
      <c r="A448" s="37"/>
      <c r="B448" s="7"/>
      <c r="C448" s="25"/>
      <c r="D448" s="9"/>
      <c r="H448" s="30"/>
      <c r="I448" s="30"/>
      <c r="J448" s="31"/>
      <c r="K448" s="30"/>
    </row>
    <row r="449">
      <c r="A449" s="37"/>
      <c r="B449" s="7"/>
      <c r="C449" s="25"/>
      <c r="D449" s="9"/>
      <c r="H449" s="30"/>
      <c r="I449" s="30"/>
      <c r="J449" s="31"/>
      <c r="K449" s="30"/>
    </row>
    <row r="450">
      <c r="A450" s="37"/>
      <c r="B450" s="7"/>
      <c r="C450" s="25"/>
      <c r="D450" s="9"/>
      <c r="H450" s="30"/>
      <c r="I450" s="30"/>
      <c r="J450" s="31"/>
      <c r="K450" s="30"/>
    </row>
    <row r="451">
      <c r="A451" s="37"/>
      <c r="B451" s="7"/>
      <c r="C451" s="25"/>
      <c r="D451" s="9"/>
      <c r="H451" s="30"/>
      <c r="I451" s="30"/>
      <c r="J451" s="31"/>
      <c r="K451" s="30"/>
    </row>
    <row r="452">
      <c r="A452" s="37"/>
      <c r="B452" s="7"/>
      <c r="C452" s="25"/>
      <c r="D452" s="9"/>
      <c r="H452" s="30"/>
      <c r="I452" s="30"/>
      <c r="J452" s="31"/>
      <c r="K452" s="30"/>
    </row>
    <row r="453">
      <c r="A453" s="37"/>
      <c r="B453" s="7"/>
      <c r="C453" s="25"/>
      <c r="D453" s="9"/>
      <c r="H453" s="30"/>
      <c r="I453" s="30"/>
      <c r="J453" s="31"/>
      <c r="K453" s="30"/>
    </row>
    <row r="454">
      <c r="A454" s="37"/>
      <c r="B454" s="7"/>
      <c r="C454" s="25"/>
      <c r="D454" s="9"/>
      <c r="H454" s="30"/>
      <c r="I454" s="30"/>
      <c r="J454" s="31"/>
      <c r="K454" s="30"/>
    </row>
    <row r="455">
      <c r="A455" s="37"/>
      <c r="B455" s="7"/>
      <c r="C455" s="25"/>
      <c r="D455" s="9"/>
      <c r="H455" s="30"/>
      <c r="I455" s="30"/>
      <c r="J455" s="31"/>
      <c r="K455" s="30"/>
    </row>
    <row r="456">
      <c r="A456" s="37"/>
      <c r="B456" s="7"/>
      <c r="C456" s="25"/>
      <c r="D456" s="9"/>
      <c r="H456" s="30"/>
      <c r="I456" s="30"/>
      <c r="J456" s="31"/>
      <c r="K456" s="30"/>
    </row>
    <row r="457">
      <c r="A457" s="37"/>
      <c r="B457" s="7"/>
      <c r="C457" s="25"/>
      <c r="D457" s="9"/>
      <c r="H457" s="30"/>
      <c r="I457" s="30"/>
      <c r="J457" s="31"/>
      <c r="K457" s="30"/>
    </row>
    <row r="458">
      <c r="A458" s="37"/>
      <c r="B458" s="7"/>
      <c r="C458" s="25"/>
      <c r="D458" s="9"/>
      <c r="H458" s="30"/>
      <c r="I458" s="30"/>
      <c r="J458" s="31"/>
      <c r="K458" s="30"/>
    </row>
    <row r="459">
      <c r="A459" s="37"/>
      <c r="B459" s="7"/>
      <c r="C459" s="25"/>
      <c r="D459" s="9"/>
      <c r="H459" s="30"/>
      <c r="I459" s="30"/>
      <c r="J459" s="31"/>
      <c r="K459" s="30"/>
    </row>
    <row r="460">
      <c r="A460" s="37"/>
      <c r="B460" s="7"/>
      <c r="C460" s="25"/>
      <c r="D460" s="9"/>
      <c r="H460" s="30"/>
      <c r="I460" s="30"/>
      <c r="J460" s="31"/>
      <c r="K460" s="30"/>
    </row>
    <row r="461">
      <c r="A461" s="37"/>
      <c r="B461" s="7"/>
      <c r="C461" s="25"/>
      <c r="D461" s="9"/>
      <c r="H461" s="30"/>
      <c r="I461" s="30"/>
      <c r="J461" s="31"/>
      <c r="K461" s="30"/>
    </row>
    <row r="462">
      <c r="A462" s="37"/>
      <c r="B462" s="7"/>
      <c r="C462" s="25"/>
      <c r="D462" s="9"/>
      <c r="H462" s="30"/>
      <c r="I462" s="30"/>
      <c r="J462" s="31"/>
      <c r="K462" s="30"/>
    </row>
    <row r="463">
      <c r="A463" s="37"/>
      <c r="B463" s="7"/>
      <c r="C463" s="25"/>
      <c r="D463" s="9"/>
      <c r="H463" s="30"/>
      <c r="I463" s="30"/>
      <c r="J463" s="31"/>
      <c r="K463" s="30"/>
    </row>
    <row r="464">
      <c r="A464" s="37"/>
      <c r="B464" s="7"/>
      <c r="C464" s="25"/>
      <c r="D464" s="9"/>
      <c r="H464" s="30"/>
      <c r="I464" s="30"/>
      <c r="J464" s="31"/>
      <c r="K464" s="30"/>
    </row>
    <row r="465">
      <c r="A465" s="37"/>
      <c r="B465" s="7"/>
      <c r="C465" s="25"/>
      <c r="D465" s="9"/>
      <c r="H465" s="30"/>
      <c r="I465" s="30"/>
      <c r="J465" s="31"/>
      <c r="K465" s="30"/>
    </row>
    <row r="466">
      <c r="A466" s="37"/>
      <c r="B466" s="7"/>
      <c r="C466" s="25"/>
      <c r="D466" s="9"/>
      <c r="H466" s="30"/>
      <c r="I466" s="30"/>
      <c r="J466" s="31"/>
      <c r="K466" s="30"/>
    </row>
    <row r="467">
      <c r="A467" s="37"/>
      <c r="B467" s="7"/>
      <c r="C467" s="25"/>
      <c r="D467" s="9"/>
      <c r="H467" s="30"/>
      <c r="I467" s="30"/>
      <c r="J467" s="31"/>
      <c r="K467" s="30"/>
    </row>
    <row r="468">
      <c r="A468" s="37"/>
      <c r="B468" s="7"/>
      <c r="C468" s="25"/>
      <c r="D468" s="9"/>
      <c r="H468" s="30"/>
      <c r="I468" s="30"/>
      <c r="J468" s="31"/>
      <c r="K468" s="30"/>
    </row>
    <row r="469">
      <c r="A469" s="37"/>
      <c r="B469" s="7"/>
      <c r="C469" s="25"/>
      <c r="D469" s="9"/>
      <c r="H469" s="30"/>
      <c r="I469" s="30"/>
      <c r="J469" s="31"/>
      <c r="K469" s="30"/>
    </row>
    <row r="470">
      <c r="A470" s="37"/>
      <c r="B470" s="7"/>
      <c r="C470" s="25"/>
      <c r="D470" s="9"/>
      <c r="H470" s="30"/>
      <c r="I470" s="30"/>
      <c r="J470" s="31"/>
      <c r="K470" s="30"/>
    </row>
    <row r="471">
      <c r="A471" s="37"/>
      <c r="B471" s="7"/>
      <c r="C471" s="25"/>
      <c r="D471" s="9"/>
      <c r="H471" s="30"/>
      <c r="I471" s="30"/>
      <c r="J471" s="31"/>
      <c r="K471" s="30"/>
    </row>
    <row r="472">
      <c r="A472" s="37"/>
      <c r="B472" s="7"/>
      <c r="C472" s="25"/>
      <c r="D472" s="9"/>
      <c r="H472" s="30"/>
      <c r="I472" s="30"/>
      <c r="J472" s="31"/>
      <c r="K472" s="30"/>
    </row>
    <row r="473">
      <c r="A473" s="37"/>
      <c r="B473" s="7"/>
      <c r="C473" s="25"/>
      <c r="D473" s="9"/>
      <c r="H473" s="30"/>
      <c r="I473" s="30"/>
      <c r="J473" s="31"/>
      <c r="K473" s="30"/>
    </row>
    <row r="474">
      <c r="A474" s="37"/>
      <c r="B474" s="7"/>
      <c r="C474" s="25"/>
      <c r="D474" s="9"/>
      <c r="H474" s="30"/>
      <c r="I474" s="30"/>
      <c r="J474" s="31"/>
      <c r="K474" s="30"/>
    </row>
    <row r="475">
      <c r="A475" s="37"/>
      <c r="B475" s="7"/>
      <c r="C475" s="25"/>
      <c r="D475" s="9"/>
      <c r="H475" s="30"/>
      <c r="I475" s="30"/>
      <c r="J475" s="31"/>
      <c r="K475" s="30"/>
    </row>
    <row r="476">
      <c r="A476" s="37"/>
      <c r="B476" s="7"/>
      <c r="C476" s="25"/>
      <c r="D476" s="9"/>
      <c r="H476" s="30"/>
      <c r="I476" s="30"/>
      <c r="J476" s="31"/>
      <c r="K476" s="30"/>
    </row>
    <row r="477">
      <c r="A477" s="37"/>
      <c r="B477" s="7"/>
      <c r="C477" s="25"/>
      <c r="D477" s="9"/>
      <c r="H477" s="30"/>
      <c r="I477" s="30"/>
      <c r="J477" s="31"/>
      <c r="K477" s="30"/>
    </row>
    <row r="478">
      <c r="A478" s="37"/>
      <c r="B478" s="7"/>
      <c r="C478" s="25"/>
      <c r="D478" s="9"/>
      <c r="H478" s="30"/>
      <c r="I478" s="30"/>
      <c r="J478" s="31"/>
      <c r="K478" s="30"/>
    </row>
    <row r="479">
      <c r="A479" s="37"/>
      <c r="B479" s="7"/>
      <c r="C479" s="25"/>
      <c r="D479" s="9"/>
      <c r="H479" s="30"/>
      <c r="I479" s="30"/>
      <c r="J479" s="31"/>
      <c r="K479" s="30"/>
    </row>
    <row r="480">
      <c r="A480" s="37"/>
      <c r="B480" s="7"/>
      <c r="C480" s="25"/>
      <c r="D480" s="9"/>
      <c r="H480" s="30"/>
      <c r="I480" s="30"/>
      <c r="J480" s="31"/>
      <c r="K480" s="30"/>
    </row>
    <row r="481">
      <c r="A481" s="37"/>
      <c r="B481" s="7"/>
      <c r="C481" s="25"/>
      <c r="D481" s="9"/>
      <c r="H481" s="30"/>
      <c r="I481" s="30"/>
      <c r="J481" s="31"/>
      <c r="K481" s="30"/>
    </row>
    <row r="482">
      <c r="A482" s="37"/>
      <c r="B482" s="7"/>
      <c r="C482" s="25"/>
      <c r="D482" s="9"/>
      <c r="H482" s="30"/>
      <c r="I482" s="30"/>
      <c r="J482" s="31"/>
      <c r="K482" s="30"/>
    </row>
    <row r="483">
      <c r="A483" s="37"/>
      <c r="B483" s="7"/>
      <c r="C483" s="25"/>
      <c r="D483" s="9"/>
      <c r="H483" s="30"/>
      <c r="I483" s="30"/>
      <c r="J483" s="31"/>
      <c r="K483" s="30"/>
    </row>
    <row r="484">
      <c r="A484" s="37"/>
      <c r="B484" s="7"/>
      <c r="C484" s="25"/>
      <c r="D484" s="9"/>
      <c r="H484" s="30"/>
      <c r="I484" s="30"/>
      <c r="J484" s="31"/>
      <c r="K484" s="30"/>
    </row>
    <row r="485">
      <c r="A485" s="37"/>
      <c r="B485" s="7"/>
      <c r="C485" s="25"/>
      <c r="D485" s="9"/>
      <c r="H485" s="30"/>
      <c r="I485" s="30"/>
      <c r="J485" s="31"/>
      <c r="K485" s="30"/>
    </row>
    <row r="486">
      <c r="A486" s="37"/>
      <c r="B486" s="7"/>
      <c r="C486" s="25"/>
      <c r="D486" s="9"/>
      <c r="H486" s="30"/>
      <c r="I486" s="30"/>
      <c r="J486" s="31"/>
      <c r="K486" s="30"/>
    </row>
    <row r="487">
      <c r="A487" s="37"/>
      <c r="B487" s="7"/>
      <c r="C487" s="25"/>
      <c r="D487" s="9"/>
      <c r="H487" s="30"/>
      <c r="I487" s="30"/>
      <c r="J487" s="31"/>
      <c r="K487" s="30"/>
    </row>
    <row r="488">
      <c r="A488" s="37"/>
      <c r="B488" s="7"/>
      <c r="C488" s="25"/>
      <c r="D488" s="9"/>
      <c r="H488" s="30"/>
      <c r="I488" s="30"/>
      <c r="J488" s="31"/>
      <c r="K488" s="30"/>
    </row>
    <row r="489">
      <c r="A489" s="37"/>
      <c r="B489" s="7"/>
      <c r="C489" s="25"/>
      <c r="D489" s="9"/>
      <c r="H489" s="30"/>
      <c r="I489" s="30"/>
      <c r="J489" s="31"/>
      <c r="K489" s="30"/>
    </row>
    <row r="490">
      <c r="A490" s="37"/>
      <c r="B490" s="7"/>
      <c r="C490" s="25"/>
      <c r="D490" s="9"/>
      <c r="H490" s="30"/>
      <c r="I490" s="30"/>
      <c r="J490" s="31"/>
      <c r="K490" s="30"/>
    </row>
    <row r="491">
      <c r="A491" s="37"/>
      <c r="B491" s="7"/>
      <c r="C491" s="25"/>
      <c r="D491" s="9"/>
      <c r="H491" s="30"/>
      <c r="I491" s="30"/>
      <c r="J491" s="31"/>
      <c r="K491" s="30"/>
    </row>
    <row r="492">
      <c r="A492" s="37"/>
      <c r="B492" s="7"/>
      <c r="C492" s="25"/>
      <c r="D492" s="9"/>
      <c r="H492" s="30"/>
      <c r="I492" s="30"/>
      <c r="J492" s="31"/>
      <c r="K492" s="30"/>
    </row>
    <row r="493">
      <c r="A493" s="37"/>
      <c r="B493" s="7"/>
      <c r="C493" s="25"/>
      <c r="D493" s="9"/>
      <c r="H493" s="30"/>
      <c r="I493" s="30"/>
      <c r="J493" s="31"/>
      <c r="K493" s="30"/>
    </row>
    <row r="494">
      <c r="A494" s="37"/>
      <c r="B494" s="7"/>
      <c r="C494" s="25"/>
      <c r="D494" s="9"/>
      <c r="H494" s="30"/>
      <c r="I494" s="30"/>
      <c r="J494" s="31"/>
      <c r="K494" s="30"/>
    </row>
    <row r="495">
      <c r="A495" s="37"/>
      <c r="B495" s="7"/>
      <c r="C495" s="25"/>
      <c r="D495" s="9"/>
      <c r="H495" s="30"/>
      <c r="I495" s="30"/>
      <c r="J495" s="31"/>
      <c r="K495" s="30"/>
    </row>
    <row r="496">
      <c r="A496" s="37"/>
      <c r="B496" s="7"/>
      <c r="C496" s="25"/>
      <c r="D496" s="9"/>
      <c r="H496" s="30"/>
      <c r="I496" s="30"/>
      <c r="J496" s="31"/>
      <c r="K496" s="30"/>
    </row>
    <row r="497">
      <c r="A497" s="37"/>
      <c r="B497" s="7"/>
      <c r="C497" s="25"/>
      <c r="D497" s="9"/>
      <c r="H497" s="30"/>
      <c r="I497" s="30"/>
      <c r="J497" s="31"/>
      <c r="K497" s="30"/>
    </row>
    <row r="498">
      <c r="A498" s="37"/>
      <c r="B498" s="7"/>
      <c r="C498" s="25"/>
      <c r="D498" s="9"/>
      <c r="H498" s="30"/>
      <c r="I498" s="30"/>
      <c r="J498" s="31"/>
      <c r="K498" s="30"/>
    </row>
    <row r="499">
      <c r="A499" s="37"/>
      <c r="B499" s="7"/>
      <c r="C499" s="25"/>
      <c r="D499" s="9"/>
      <c r="H499" s="30"/>
      <c r="I499" s="30"/>
      <c r="J499" s="31"/>
      <c r="K499" s="30"/>
    </row>
    <row r="500">
      <c r="A500" s="37"/>
      <c r="B500" s="7"/>
      <c r="C500" s="25"/>
      <c r="D500" s="9"/>
      <c r="H500" s="30"/>
      <c r="I500" s="30"/>
      <c r="J500" s="31"/>
      <c r="K500" s="30"/>
    </row>
    <row r="501">
      <c r="A501" s="37"/>
      <c r="B501" s="7"/>
      <c r="C501" s="25"/>
      <c r="D501" s="9"/>
      <c r="H501" s="30"/>
      <c r="I501" s="30"/>
      <c r="J501" s="31"/>
      <c r="K501" s="30"/>
    </row>
    <row r="502">
      <c r="A502" s="37"/>
      <c r="B502" s="7"/>
      <c r="C502" s="25"/>
      <c r="D502" s="9"/>
      <c r="H502" s="30"/>
      <c r="I502" s="30"/>
      <c r="J502" s="31"/>
      <c r="K502" s="30"/>
    </row>
    <row r="503">
      <c r="A503" s="37"/>
      <c r="B503" s="7"/>
      <c r="C503" s="25"/>
      <c r="D503" s="9"/>
      <c r="H503" s="30"/>
      <c r="I503" s="30"/>
      <c r="J503" s="31"/>
      <c r="K503" s="30"/>
    </row>
    <row r="504">
      <c r="A504" s="37"/>
      <c r="B504" s="7"/>
      <c r="C504" s="25"/>
      <c r="D504" s="9"/>
      <c r="H504" s="30"/>
      <c r="I504" s="30"/>
      <c r="J504" s="31"/>
      <c r="K504" s="30"/>
    </row>
    <row r="505">
      <c r="A505" s="37"/>
      <c r="B505" s="7"/>
      <c r="C505" s="25"/>
      <c r="D505" s="9"/>
      <c r="H505" s="30"/>
      <c r="I505" s="30"/>
      <c r="J505" s="31"/>
      <c r="K505" s="30"/>
    </row>
    <row r="506">
      <c r="A506" s="37"/>
      <c r="B506" s="7"/>
      <c r="C506" s="25"/>
      <c r="D506" s="9"/>
      <c r="H506" s="30"/>
      <c r="I506" s="30"/>
      <c r="J506" s="31"/>
      <c r="K506" s="30"/>
    </row>
    <row r="507">
      <c r="A507" s="37"/>
      <c r="B507" s="7"/>
      <c r="C507" s="25"/>
      <c r="D507" s="9"/>
      <c r="H507" s="30"/>
      <c r="I507" s="30"/>
      <c r="J507" s="31"/>
      <c r="K507" s="30"/>
    </row>
    <row r="508">
      <c r="A508" s="37"/>
      <c r="B508" s="7"/>
      <c r="C508" s="25"/>
      <c r="D508" s="9"/>
      <c r="H508" s="30"/>
      <c r="I508" s="30"/>
      <c r="J508" s="31"/>
      <c r="K508" s="30"/>
    </row>
    <row r="509">
      <c r="A509" s="37"/>
      <c r="B509" s="7"/>
      <c r="C509" s="25"/>
      <c r="D509" s="9"/>
      <c r="H509" s="30"/>
      <c r="I509" s="30"/>
      <c r="J509" s="31"/>
      <c r="K509" s="30"/>
    </row>
    <row r="510">
      <c r="A510" s="37"/>
      <c r="B510" s="7"/>
      <c r="C510" s="25"/>
      <c r="D510" s="9"/>
      <c r="H510" s="30"/>
      <c r="I510" s="30"/>
      <c r="J510" s="31"/>
      <c r="K510" s="30"/>
    </row>
    <row r="511">
      <c r="A511" s="37"/>
      <c r="B511" s="7"/>
      <c r="C511" s="25"/>
      <c r="D511" s="9"/>
      <c r="H511" s="30"/>
      <c r="I511" s="30"/>
      <c r="J511" s="31"/>
      <c r="K511" s="30"/>
    </row>
    <row r="512">
      <c r="A512" s="37"/>
      <c r="B512" s="7"/>
      <c r="C512" s="25"/>
      <c r="D512" s="9"/>
      <c r="H512" s="30"/>
      <c r="I512" s="30"/>
      <c r="J512" s="31"/>
      <c r="K512" s="30"/>
    </row>
    <row r="513">
      <c r="A513" s="37"/>
      <c r="B513" s="7"/>
      <c r="C513" s="25"/>
      <c r="D513" s="9"/>
      <c r="H513" s="30"/>
      <c r="I513" s="30"/>
      <c r="J513" s="31"/>
      <c r="K513" s="30"/>
    </row>
    <row r="514">
      <c r="A514" s="37"/>
      <c r="B514" s="7"/>
      <c r="C514" s="25"/>
      <c r="D514" s="9"/>
      <c r="H514" s="30"/>
      <c r="I514" s="30"/>
      <c r="J514" s="31"/>
      <c r="K514" s="30"/>
    </row>
    <row r="515">
      <c r="A515" s="37"/>
      <c r="B515" s="7"/>
      <c r="C515" s="25"/>
      <c r="D515" s="9"/>
      <c r="H515" s="30"/>
      <c r="I515" s="30"/>
      <c r="J515" s="31"/>
      <c r="K515" s="30"/>
    </row>
    <row r="516">
      <c r="A516" s="37"/>
      <c r="B516" s="7"/>
      <c r="C516" s="25"/>
      <c r="D516" s="9"/>
      <c r="H516" s="30"/>
      <c r="I516" s="30"/>
      <c r="J516" s="31"/>
      <c r="K516" s="30"/>
    </row>
    <row r="517">
      <c r="A517" s="37"/>
      <c r="B517" s="7"/>
      <c r="C517" s="25"/>
      <c r="D517" s="9"/>
      <c r="H517" s="30"/>
      <c r="I517" s="30"/>
      <c r="J517" s="31"/>
      <c r="K517" s="30"/>
    </row>
    <row r="518">
      <c r="A518" s="37"/>
      <c r="B518" s="7"/>
      <c r="C518" s="25"/>
      <c r="D518" s="9"/>
      <c r="H518" s="30"/>
      <c r="I518" s="30"/>
      <c r="J518" s="31"/>
      <c r="K518" s="30"/>
    </row>
    <row r="519">
      <c r="A519" s="37"/>
      <c r="B519" s="7"/>
      <c r="C519" s="25"/>
      <c r="D519" s="9"/>
      <c r="H519" s="30"/>
      <c r="I519" s="30"/>
      <c r="J519" s="31"/>
      <c r="K519" s="30"/>
    </row>
    <row r="520">
      <c r="A520" s="37"/>
      <c r="B520" s="7"/>
      <c r="C520" s="25"/>
      <c r="D520" s="9"/>
      <c r="H520" s="30"/>
      <c r="I520" s="30"/>
      <c r="J520" s="31"/>
      <c r="K520" s="30"/>
    </row>
    <row r="521">
      <c r="A521" s="37"/>
      <c r="B521" s="7"/>
      <c r="C521" s="25"/>
      <c r="D521" s="9"/>
      <c r="H521" s="30"/>
      <c r="I521" s="30"/>
      <c r="J521" s="31"/>
      <c r="K521" s="30"/>
    </row>
    <row r="522">
      <c r="A522" s="37"/>
      <c r="B522" s="7"/>
      <c r="C522" s="25"/>
      <c r="D522" s="9"/>
      <c r="H522" s="30"/>
      <c r="I522" s="30"/>
      <c r="J522" s="31"/>
      <c r="K522" s="30"/>
    </row>
    <row r="523">
      <c r="A523" s="37"/>
      <c r="B523" s="7"/>
      <c r="C523" s="25"/>
      <c r="D523" s="9"/>
      <c r="H523" s="30"/>
      <c r="I523" s="30"/>
      <c r="J523" s="31"/>
      <c r="K523" s="30"/>
    </row>
    <row r="524">
      <c r="A524" s="37"/>
      <c r="B524" s="7"/>
      <c r="C524" s="25"/>
      <c r="D524" s="9"/>
      <c r="H524" s="30"/>
      <c r="I524" s="30"/>
      <c r="J524" s="31"/>
      <c r="K524" s="30"/>
    </row>
    <row r="525">
      <c r="A525" s="37"/>
      <c r="B525" s="7"/>
      <c r="C525" s="25"/>
      <c r="D525" s="9"/>
      <c r="H525" s="30"/>
      <c r="I525" s="30"/>
      <c r="J525" s="31"/>
      <c r="K525" s="30"/>
    </row>
    <row r="526">
      <c r="A526" s="37"/>
      <c r="B526" s="7"/>
      <c r="C526" s="25"/>
      <c r="D526" s="9"/>
      <c r="H526" s="30"/>
      <c r="I526" s="30"/>
      <c r="J526" s="31"/>
      <c r="K526" s="30"/>
    </row>
    <row r="527">
      <c r="A527" s="37"/>
      <c r="B527" s="7"/>
      <c r="C527" s="25"/>
      <c r="D527" s="9"/>
      <c r="H527" s="30"/>
      <c r="I527" s="30"/>
      <c r="J527" s="31"/>
      <c r="K527" s="30"/>
    </row>
    <row r="528">
      <c r="A528" s="37"/>
      <c r="B528" s="7"/>
      <c r="C528" s="25"/>
      <c r="D528" s="9"/>
      <c r="H528" s="30"/>
      <c r="I528" s="30"/>
      <c r="J528" s="31"/>
      <c r="K528" s="30"/>
    </row>
    <row r="529">
      <c r="A529" s="37"/>
      <c r="B529" s="7"/>
      <c r="C529" s="25"/>
      <c r="D529" s="9"/>
      <c r="H529" s="30"/>
      <c r="I529" s="30"/>
      <c r="J529" s="31"/>
      <c r="K529" s="30"/>
    </row>
    <row r="530">
      <c r="A530" s="37"/>
      <c r="B530" s="7"/>
      <c r="C530" s="25"/>
      <c r="D530" s="9"/>
      <c r="H530" s="30"/>
      <c r="I530" s="30"/>
      <c r="J530" s="31"/>
      <c r="K530" s="30"/>
    </row>
    <row r="531">
      <c r="A531" s="37"/>
      <c r="B531" s="7"/>
      <c r="C531" s="25"/>
      <c r="D531" s="9"/>
      <c r="H531" s="30"/>
      <c r="I531" s="30"/>
      <c r="J531" s="31"/>
      <c r="K531" s="30"/>
    </row>
    <row r="532">
      <c r="A532" s="37"/>
      <c r="B532" s="7"/>
      <c r="C532" s="25"/>
      <c r="D532" s="9"/>
      <c r="H532" s="30"/>
      <c r="I532" s="30"/>
      <c r="J532" s="31"/>
      <c r="K532" s="30"/>
    </row>
    <row r="533">
      <c r="A533" s="37"/>
      <c r="B533" s="7"/>
      <c r="C533" s="25"/>
      <c r="D533" s="9"/>
      <c r="H533" s="30"/>
      <c r="I533" s="30"/>
      <c r="J533" s="31"/>
      <c r="K533" s="30"/>
    </row>
    <row r="534">
      <c r="A534" s="37"/>
      <c r="B534" s="7"/>
      <c r="C534" s="25"/>
      <c r="D534" s="9"/>
      <c r="H534" s="30"/>
      <c r="I534" s="30"/>
      <c r="J534" s="31"/>
      <c r="K534" s="30"/>
    </row>
    <row r="535">
      <c r="A535" s="37"/>
      <c r="B535" s="7"/>
      <c r="C535" s="25"/>
      <c r="D535" s="9"/>
      <c r="H535" s="30"/>
      <c r="I535" s="30"/>
      <c r="J535" s="31"/>
      <c r="K535" s="30"/>
    </row>
    <row r="536">
      <c r="A536" s="37"/>
      <c r="B536" s="7"/>
      <c r="C536" s="25"/>
      <c r="D536" s="9"/>
      <c r="H536" s="30"/>
      <c r="I536" s="30"/>
      <c r="J536" s="31"/>
      <c r="K536" s="30"/>
    </row>
    <row r="537">
      <c r="A537" s="37"/>
      <c r="B537" s="7"/>
      <c r="C537" s="25"/>
      <c r="D537" s="9"/>
      <c r="H537" s="30"/>
      <c r="I537" s="30"/>
      <c r="J537" s="31"/>
      <c r="K537" s="30"/>
    </row>
    <row r="538">
      <c r="A538" s="37"/>
      <c r="B538" s="7"/>
      <c r="C538" s="25"/>
      <c r="D538" s="9"/>
      <c r="H538" s="30"/>
      <c r="I538" s="30"/>
      <c r="J538" s="31"/>
      <c r="K538" s="30"/>
    </row>
    <row r="539">
      <c r="A539" s="37"/>
      <c r="B539" s="7"/>
      <c r="C539" s="25"/>
      <c r="D539" s="9"/>
      <c r="H539" s="30"/>
      <c r="I539" s="30"/>
      <c r="J539" s="31"/>
      <c r="K539" s="30"/>
    </row>
    <row r="540">
      <c r="A540" s="37"/>
      <c r="B540" s="7"/>
      <c r="C540" s="25"/>
      <c r="D540" s="9"/>
      <c r="H540" s="30"/>
      <c r="I540" s="30"/>
      <c r="J540" s="31"/>
      <c r="K540" s="30"/>
    </row>
    <row r="541">
      <c r="A541" s="37"/>
      <c r="B541" s="7"/>
      <c r="C541" s="25"/>
      <c r="D541" s="9"/>
      <c r="H541" s="30"/>
      <c r="I541" s="30"/>
      <c r="J541" s="31"/>
      <c r="K541" s="30"/>
    </row>
    <row r="542">
      <c r="A542" s="37"/>
      <c r="B542" s="7"/>
      <c r="C542" s="25"/>
      <c r="D542" s="9"/>
      <c r="H542" s="30"/>
      <c r="I542" s="30"/>
      <c r="J542" s="31"/>
      <c r="K542" s="30"/>
    </row>
    <row r="543">
      <c r="A543" s="37"/>
      <c r="B543" s="7"/>
      <c r="C543" s="25"/>
      <c r="D543" s="9"/>
      <c r="H543" s="30"/>
      <c r="I543" s="30"/>
      <c r="J543" s="31"/>
      <c r="K543" s="30"/>
    </row>
    <row r="544">
      <c r="A544" s="37"/>
      <c r="B544" s="7"/>
      <c r="C544" s="25"/>
      <c r="D544" s="9"/>
      <c r="H544" s="30"/>
      <c r="I544" s="30"/>
      <c r="J544" s="31"/>
      <c r="K544" s="30"/>
    </row>
    <row r="545">
      <c r="A545" s="37"/>
      <c r="B545" s="7"/>
      <c r="C545" s="25"/>
      <c r="D545" s="9"/>
      <c r="H545" s="30"/>
      <c r="I545" s="30"/>
      <c r="J545" s="31"/>
      <c r="K545" s="30"/>
    </row>
    <row r="546">
      <c r="A546" s="37"/>
      <c r="B546" s="7"/>
      <c r="C546" s="25"/>
      <c r="D546" s="9"/>
      <c r="H546" s="30"/>
      <c r="I546" s="30"/>
      <c r="J546" s="31"/>
      <c r="K546" s="30"/>
    </row>
    <row r="547">
      <c r="A547" s="37"/>
      <c r="B547" s="7"/>
      <c r="C547" s="25"/>
      <c r="D547" s="9"/>
      <c r="H547" s="30"/>
      <c r="I547" s="30"/>
      <c r="J547" s="31"/>
      <c r="K547" s="30"/>
    </row>
    <row r="548">
      <c r="A548" s="37"/>
      <c r="B548" s="7"/>
      <c r="C548" s="25"/>
      <c r="D548" s="9"/>
      <c r="H548" s="30"/>
      <c r="I548" s="30"/>
      <c r="J548" s="31"/>
      <c r="K548" s="30"/>
    </row>
    <row r="549">
      <c r="A549" s="37"/>
      <c r="B549" s="7"/>
      <c r="C549" s="25"/>
      <c r="D549" s="9"/>
      <c r="H549" s="30"/>
      <c r="I549" s="30"/>
      <c r="J549" s="31"/>
      <c r="K549" s="30"/>
    </row>
    <row r="550">
      <c r="A550" s="37"/>
      <c r="B550" s="7"/>
      <c r="C550" s="25"/>
      <c r="D550" s="9"/>
      <c r="H550" s="30"/>
      <c r="I550" s="30"/>
      <c r="J550" s="31"/>
      <c r="K550" s="30"/>
    </row>
    <row r="551">
      <c r="A551" s="37"/>
      <c r="B551" s="7"/>
      <c r="C551" s="25"/>
      <c r="D551" s="9"/>
      <c r="H551" s="30"/>
      <c r="I551" s="30"/>
      <c r="J551" s="31"/>
      <c r="K551" s="30"/>
    </row>
    <row r="552">
      <c r="A552" s="37"/>
      <c r="B552" s="7"/>
      <c r="C552" s="25"/>
      <c r="D552" s="9"/>
      <c r="H552" s="30"/>
      <c r="I552" s="30"/>
      <c r="J552" s="31"/>
      <c r="K552" s="30"/>
    </row>
    <row r="553">
      <c r="A553" s="37"/>
      <c r="B553" s="7"/>
      <c r="C553" s="25"/>
      <c r="D553" s="9"/>
      <c r="H553" s="30"/>
      <c r="I553" s="30"/>
      <c r="J553" s="31"/>
      <c r="K553" s="30"/>
    </row>
    <row r="554">
      <c r="A554" s="37"/>
      <c r="B554" s="7"/>
      <c r="C554" s="25"/>
      <c r="D554" s="9"/>
      <c r="H554" s="30"/>
      <c r="I554" s="30"/>
      <c r="J554" s="31"/>
      <c r="K554" s="30"/>
    </row>
    <row r="555">
      <c r="A555" s="37"/>
      <c r="B555" s="7"/>
      <c r="C555" s="25"/>
      <c r="D555" s="9"/>
      <c r="H555" s="30"/>
      <c r="I555" s="30"/>
      <c r="J555" s="31"/>
      <c r="K555" s="30"/>
    </row>
    <row r="556">
      <c r="A556" s="37"/>
      <c r="B556" s="7"/>
      <c r="C556" s="25"/>
      <c r="D556" s="9"/>
      <c r="H556" s="30"/>
      <c r="I556" s="30"/>
      <c r="J556" s="31"/>
      <c r="K556" s="30"/>
    </row>
    <row r="557">
      <c r="A557" s="37"/>
      <c r="B557" s="7"/>
      <c r="C557" s="25"/>
      <c r="D557" s="9"/>
      <c r="H557" s="30"/>
      <c r="I557" s="30"/>
      <c r="J557" s="31"/>
      <c r="K557" s="30"/>
    </row>
    <row r="558">
      <c r="A558" s="37"/>
      <c r="B558" s="7"/>
      <c r="C558" s="25"/>
      <c r="D558" s="9"/>
      <c r="H558" s="30"/>
      <c r="I558" s="30"/>
      <c r="J558" s="31"/>
      <c r="K558" s="30"/>
    </row>
    <row r="559">
      <c r="A559" s="37"/>
      <c r="B559" s="7"/>
      <c r="C559" s="25"/>
      <c r="D559" s="9"/>
      <c r="H559" s="30"/>
      <c r="I559" s="30"/>
      <c r="J559" s="31"/>
      <c r="K559" s="30"/>
    </row>
    <row r="560">
      <c r="A560" s="37"/>
      <c r="B560" s="7"/>
      <c r="C560" s="25"/>
      <c r="D560" s="9"/>
      <c r="H560" s="30"/>
      <c r="I560" s="30"/>
      <c r="J560" s="31"/>
      <c r="K560" s="30"/>
    </row>
    <row r="561">
      <c r="A561" s="37"/>
      <c r="B561" s="7"/>
      <c r="C561" s="25"/>
      <c r="D561" s="9"/>
      <c r="H561" s="30"/>
      <c r="I561" s="30"/>
      <c r="J561" s="31"/>
      <c r="K561" s="30"/>
    </row>
    <row r="562">
      <c r="A562" s="37"/>
      <c r="B562" s="7"/>
      <c r="C562" s="25"/>
      <c r="D562" s="9"/>
      <c r="H562" s="30"/>
      <c r="I562" s="30"/>
      <c r="J562" s="31"/>
      <c r="K562" s="30"/>
    </row>
    <row r="563">
      <c r="A563" s="37"/>
      <c r="B563" s="7"/>
      <c r="C563" s="25"/>
      <c r="D563" s="9"/>
      <c r="H563" s="30"/>
      <c r="I563" s="30"/>
      <c r="J563" s="31"/>
      <c r="K563" s="30"/>
    </row>
    <row r="564">
      <c r="A564" s="37"/>
      <c r="B564" s="7"/>
      <c r="C564" s="25"/>
      <c r="D564" s="9"/>
      <c r="H564" s="30"/>
      <c r="I564" s="30"/>
      <c r="J564" s="31"/>
      <c r="K564" s="30"/>
    </row>
    <row r="565">
      <c r="A565" s="37"/>
      <c r="B565" s="7"/>
      <c r="C565" s="25"/>
      <c r="D565" s="9"/>
      <c r="H565" s="30"/>
      <c r="I565" s="30"/>
      <c r="J565" s="31"/>
      <c r="K565" s="30"/>
    </row>
    <row r="566">
      <c r="A566" s="37"/>
      <c r="B566" s="7"/>
      <c r="C566" s="25"/>
      <c r="D566" s="9"/>
      <c r="H566" s="30"/>
      <c r="I566" s="30"/>
      <c r="J566" s="31"/>
      <c r="K566" s="30"/>
    </row>
    <row r="567">
      <c r="A567" s="37"/>
      <c r="B567" s="7"/>
      <c r="C567" s="25"/>
      <c r="D567" s="9"/>
      <c r="H567" s="30"/>
      <c r="I567" s="30"/>
      <c r="J567" s="31"/>
      <c r="K567" s="30"/>
    </row>
    <row r="568">
      <c r="A568" s="37"/>
      <c r="B568" s="7"/>
      <c r="C568" s="25"/>
      <c r="D568" s="9"/>
      <c r="H568" s="30"/>
      <c r="I568" s="30"/>
      <c r="J568" s="31"/>
      <c r="K568" s="30"/>
    </row>
    <row r="569">
      <c r="A569" s="37"/>
      <c r="B569" s="7"/>
      <c r="C569" s="25"/>
      <c r="D569" s="9"/>
      <c r="H569" s="30"/>
      <c r="I569" s="30"/>
      <c r="J569" s="31"/>
      <c r="K569" s="30"/>
    </row>
    <row r="570">
      <c r="A570" s="37"/>
      <c r="B570" s="7"/>
      <c r="C570" s="25"/>
      <c r="D570" s="9"/>
      <c r="H570" s="30"/>
      <c r="I570" s="30"/>
      <c r="J570" s="31"/>
      <c r="K570" s="30"/>
    </row>
    <row r="571">
      <c r="A571" s="37"/>
      <c r="B571" s="7"/>
      <c r="C571" s="25"/>
      <c r="D571" s="9"/>
      <c r="H571" s="30"/>
      <c r="I571" s="30"/>
      <c r="J571" s="31"/>
      <c r="K571" s="30"/>
    </row>
    <row r="572">
      <c r="A572" s="37"/>
      <c r="B572" s="7"/>
      <c r="C572" s="25"/>
      <c r="D572" s="9"/>
      <c r="H572" s="30"/>
      <c r="I572" s="30"/>
      <c r="J572" s="31"/>
      <c r="K572" s="30"/>
    </row>
    <row r="573">
      <c r="A573" s="37"/>
      <c r="B573" s="7"/>
      <c r="C573" s="25"/>
      <c r="D573" s="9"/>
      <c r="H573" s="30"/>
      <c r="I573" s="30"/>
      <c r="J573" s="31"/>
      <c r="K573" s="30"/>
    </row>
    <row r="574">
      <c r="A574" s="37"/>
      <c r="B574" s="7"/>
      <c r="C574" s="25"/>
      <c r="D574" s="9"/>
      <c r="H574" s="30"/>
      <c r="I574" s="30"/>
      <c r="J574" s="31"/>
      <c r="K574" s="30"/>
    </row>
    <row r="575">
      <c r="A575" s="37"/>
      <c r="B575" s="7"/>
      <c r="C575" s="25"/>
      <c r="D575" s="9"/>
      <c r="H575" s="30"/>
      <c r="I575" s="30"/>
      <c r="J575" s="31"/>
      <c r="K575" s="30"/>
    </row>
    <row r="576">
      <c r="A576" s="37"/>
      <c r="B576" s="7"/>
      <c r="C576" s="25"/>
      <c r="D576" s="9"/>
      <c r="H576" s="30"/>
      <c r="I576" s="30"/>
      <c r="J576" s="31"/>
      <c r="K576" s="30"/>
    </row>
    <row r="577">
      <c r="A577" s="37"/>
      <c r="B577" s="7"/>
      <c r="C577" s="25"/>
      <c r="D577" s="9"/>
      <c r="H577" s="30"/>
      <c r="I577" s="30"/>
      <c r="J577" s="31"/>
      <c r="K577" s="30"/>
    </row>
    <row r="578">
      <c r="A578" s="37"/>
      <c r="B578" s="7"/>
      <c r="C578" s="25"/>
      <c r="D578" s="9"/>
      <c r="H578" s="30"/>
      <c r="I578" s="30"/>
      <c r="J578" s="31"/>
      <c r="K578" s="30"/>
    </row>
    <row r="579">
      <c r="A579" s="37"/>
      <c r="B579" s="7"/>
      <c r="C579" s="25"/>
      <c r="D579" s="9"/>
      <c r="H579" s="30"/>
      <c r="I579" s="30"/>
      <c r="J579" s="31"/>
      <c r="K579" s="30"/>
    </row>
    <row r="580">
      <c r="A580" s="37"/>
      <c r="B580" s="7"/>
      <c r="C580" s="25"/>
      <c r="D580" s="9"/>
      <c r="H580" s="30"/>
      <c r="I580" s="30"/>
      <c r="J580" s="31"/>
      <c r="K580" s="30"/>
    </row>
    <row r="581">
      <c r="A581" s="37"/>
      <c r="B581" s="7"/>
      <c r="C581" s="25"/>
      <c r="D581" s="9"/>
      <c r="H581" s="30"/>
      <c r="I581" s="30"/>
      <c r="J581" s="31"/>
      <c r="K581" s="30"/>
    </row>
    <row r="582">
      <c r="A582" s="37"/>
      <c r="B582" s="7"/>
      <c r="C582" s="25"/>
      <c r="D582" s="9"/>
      <c r="H582" s="30"/>
      <c r="I582" s="30"/>
      <c r="J582" s="31"/>
      <c r="K582" s="30"/>
    </row>
    <row r="583">
      <c r="A583" s="37"/>
      <c r="B583" s="7"/>
      <c r="C583" s="25"/>
      <c r="D583" s="9"/>
      <c r="H583" s="30"/>
      <c r="I583" s="30"/>
      <c r="J583" s="31"/>
      <c r="K583" s="30"/>
    </row>
    <row r="584">
      <c r="A584" s="37"/>
      <c r="B584" s="7"/>
      <c r="C584" s="25"/>
      <c r="D584" s="9"/>
      <c r="H584" s="30"/>
      <c r="I584" s="30"/>
      <c r="J584" s="31"/>
      <c r="K584" s="30"/>
    </row>
    <row r="585">
      <c r="A585" s="37"/>
      <c r="B585" s="7"/>
      <c r="C585" s="25"/>
      <c r="D585" s="9"/>
      <c r="H585" s="30"/>
      <c r="I585" s="30"/>
      <c r="J585" s="31"/>
      <c r="K585" s="30"/>
    </row>
    <row r="586">
      <c r="A586" s="37"/>
      <c r="B586" s="7"/>
      <c r="C586" s="25"/>
      <c r="D586" s="9"/>
      <c r="H586" s="30"/>
      <c r="I586" s="30"/>
      <c r="J586" s="31"/>
      <c r="K586" s="30"/>
    </row>
    <row r="587">
      <c r="A587" s="37"/>
      <c r="B587" s="7"/>
      <c r="C587" s="25"/>
      <c r="D587" s="9"/>
      <c r="H587" s="30"/>
      <c r="I587" s="30"/>
      <c r="J587" s="31"/>
      <c r="K587" s="30"/>
    </row>
    <row r="588">
      <c r="A588" s="37"/>
      <c r="B588" s="7"/>
      <c r="C588" s="25"/>
      <c r="D588" s="9"/>
      <c r="H588" s="30"/>
      <c r="I588" s="30"/>
      <c r="J588" s="31"/>
      <c r="K588" s="30"/>
    </row>
    <row r="589">
      <c r="A589" s="37"/>
      <c r="B589" s="7"/>
      <c r="C589" s="25"/>
      <c r="D589" s="9"/>
      <c r="H589" s="30"/>
      <c r="I589" s="30"/>
      <c r="J589" s="31"/>
      <c r="K589" s="30"/>
    </row>
    <row r="590">
      <c r="A590" s="37"/>
      <c r="B590" s="7"/>
      <c r="C590" s="25"/>
      <c r="D590" s="9"/>
      <c r="H590" s="30"/>
      <c r="I590" s="30"/>
      <c r="J590" s="31"/>
      <c r="K590" s="30"/>
    </row>
    <row r="591">
      <c r="A591" s="37"/>
      <c r="B591" s="7"/>
      <c r="C591" s="25"/>
      <c r="D591" s="9"/>
      <c r="H591" s="30"/>
      <c r="I591" s="30"/>
      <c r="J591" s="31"/>
      <c r="K591" s="30"/>
    </row>
    <row r="592">
      <c r="A592" s="37"/>
      <c r="B592" s="7"/>
      <c r="C592" s="25"/>
      <c r="D592" s="9"/>
      <c r="H592" s="30"/>
      <c r="I592" s="30"/>
      <c r="J592" s="31"/>
      <c r="K592" s="30"/>
    </row>
    <row r="593">
      <c r="A593" s="37"/>
      <c r="B593" s="7"/>
      <c r="C593" s="25"/>
      <c r="D593" s="9"/>
      <c r="H593" s="30"/>
      <c r="I593" s="30"/>
      <c r="J593" s="31"/>
      <c r="K593" s="30"/>
    </row>
    <row r="594">
      <c r="A594" s="37"/>
      <c r="B594" s="7"/>
      <c r="C594" s="25"/>
      <c r="D594" s="9"/>
      <c r="H594" s="30"/>
      <c r="I594" s="30"/>
      <c r="J594" s="31"/>
      <c r="K594" s="30"/>
    </row>
    <row r="595">
      <c r="A595" s="37"/>
      <c r="B595" s="7"/>
      <c r="C595" s="25"/>
      <c r="D595" s="9"/>
      <c r="H595" s="30"/>
      <c r="I595" s="30"/>
      <c r="J595" s="31"/>
      <c r="K595" s="30"/>
    </row>
    <row r="596">
      <c r="A596" s="37"/>
      <c r="B596" s="7"/>
      <c r="C596" s="25"/>
      <c r="D596" s="9"/>
      <c r="H596" s="30"/>
      <c r="I596" s="30"/>
      <c r="J596" s="31"/>
      <c r="K596" s="30"/>
    </row>
    <row r="597">
      <c r="A597" s="37"/>
      <c r="B597" s="7"/>
      <c r="C597" s="25"/>
      <c r="D597" s="9"/>
      <c r="H597" s="30"/>
      <c r="I597" s="30"/>
      <c r="J597" s="31"/>
      <c r="K597" s="30"/>
    </row>
    <row r="598">
      <c r="A598" s="37"/>
      <c r="B598" s="7"/>
      <c r="C598" s="25"/>
      <c r="D598" s="9"/>
      <c r="H598" s="30"/>
      <c r="I598" s="30"/>
      <c r="J598" s="31"/>
      <c r="K598" s="30"/>
    </row>
    <row r="599">
      <c r="A599" s="37"/>
      <c r="B599" s="7"/>
      <c r="C599" s="25"/>
      <c r="D599" s="9"/>
      <c r="H599" s="30"/>
      <c r="I599" s="30"/>
      <c r="J599" s="31"/>
      <c r="K599" s="30"/>
    </row>
    <row r="600">
      <c r="A600" s="37"/>
      <c r="B600" s="7"/>
      <c r="C600" s="25"/>
      <c r="D600" s="9"/>
      <c r="H600" s="30"/>
      <c r="I600" s="30"/>
      <c r="J600" s="31"/>
      <c r="K600" s="30"/>
    </row>
    <row r="601">
      <c r="A601" s="37"/>
      <c r="B601" s="7"/>
      <c r="C601" s="25"/>
      <c r="D601" s="9"/>
      <c r="H601" s="30"/>
      <c r="I601" s="30"/>
      <c r="J601" s="31"/>
      <c r="K601" s="30"/>
    </row>
    <row r="602">
      <c r="A602" s="37"/>
      <c r="B602" s="7"/>
      <c r="C602" s="25"/>
      <c r="D602" s="9"/>
      <c r="H602" s="30"/>
      <c r="I602" s="30"/>
      <c r="J602" s="31"/>
      <c r="K602" s="30"/>
    </row>
    <row r="603">
      <c r="A603" s="37"/>
      <c r="B603" s="7"/>
      <c r="C603" s="25"/>
      <c r="D603" s="9"/>
      <c r="H603" s="30"/>
      <c r="I603" s="30"/>
      <c r="J603" s="31"/>
      <c r="K603" s="30"/>
    </row>
    <row r="604">
      <c r="A604" s="37"/>
      <c r="B604" s="7"/>
      <c r="C604" s="25"/>
      <c r="D604" s="9"/>
      <c r="H604" s="30"/>
      <c r="I604" s="30"/>
      <c r="J604" s="31"/>
      <c r="K604" s="30"/>
    </row>
    <row r="605">
      <c r="A605" s="37"/>
      <c r="B605" s="7"/>
      <c r="C605" s="25"/>
      <c r="D605" s="9"/>
      <c r="H605" s="30"/>
      <c r="I605" s="30"/>
      <c r="J605" s="31"/>
      <c r="K605" s="30"/>
    </row>
    <row r="606">
      <c r="A606" s="37"/>
      <c r="B606" s="7"/>
      <c r="C606" s="25"/>
      <c r="D606" s="9"/>
      <c r="H606" s="30"/>
      <c r="I606" s="30"/>
      <c r="J606" s="31"/>
      <c r="K606" s="30"/>
    </row>
    <row r="607">
      <c r="A607" s="37"/>
      <c r="B607" s="7"/>
      <c r="C607" s="25"/>
      <c r="D607" s="9"/>
      <c r="H607" s="30"/>
      <c r="I607" s="30"/>
      <c r="J607" s="31"/>
      <c r="K607" s="30"/>
    </row>
    <row r="608">
      <c r="A608" s="37"/>
      <c r="B608" s="7"/>
      <c r="C608" s="25"/>
      <c r="D608" s="9"/>
      <c r="H608" s="30"/>
      <c r="I608" s="30"/>
      <c r="J608" s="31"/>
      <c r="K608" s="30"/>
    </row>
    <row r="609">
      <c r="A609" s="37"/>
      <c r="B609" s="7"/>
      <c r="C609" s="25"/>
      <c r="D609" s="9"/>
      <c r="H609" s="30"/>
      <c r="I609" s="30"/>
      <c r="J609" s="31"/>
      <c r="K609" s="30"/>
    </row>
    <row r="610">
      <c r="A610" s="37"/>
      <c r="B610" s="7"/>
      <c r="C610" s="25"/>
      <c r="D610" s="9"/>
      <c r="H610" s="30"/>
      <c r="I610" s="30"/>
      <c r="J610" s="31"/>
      <c r="K610" s="30"/>
    </row>
    <row r="611">
      <c r="A611" s="37"/>
      <c r="B611" s="7"/>
      <c r="C611" s="25"/>
      <c r="D611" s="9"/>
      <c r="H611" s="30"/>
      <c r="I611" s="30"/>
      <c r="J611" s="31"/>
      <c r="K611" s="30"/>
    </row>
    <row r="612">
      <c r="A612" s="37"/>
      <c r="B612" s="7"/>
      <c r="C612" s="25"/>
      <c r="D612" s="9"/>
      <c r="H612" s="30"/>
      <c r="I612" s="30"/>
      <c r="J612" s="31"/>
      <c r="K612" s="30"/>
    </row>
    <row r="613">
      <c r="A613" s="37"/>
      <c r="B613" s="7"/>
      <c r="C613" s="25"/>
      <c r="D613" s="9"/>
      <c r="H613" s="30"/>
      <c r="I613" s="30"/>
      <c r="J613" s="31"/>
      <c r="K613" s="30"/>
    </row>
    <row r="614">
      <c r="A614" s="37"/>
      <c r="B614" s="7"/>
      <c r="C614" s="25"/>
      <c r="D614" s="9"/>
      <c r="H614" s="30"/>
      <c r="I614" s="30"/>
      <c r="J614" s="31"/>
      <c r="K614" s="30"/>
    </row>
    <row r="615">
      <c r="A615" s="37"/>
      <c r="B615" s="7"/>
      <c r="C615" s="25"/>
      <c r="D615" s="9"/>
      <c r="H615" s="30"/>
      <c r="I615" s="30"/>
      <c r="J615" s="31"/>
      <c r="K615" s="30"/>
    </row>
    <row r="616">
      <c r="A616" s="37"/>
      <c r="B616" s="7"/>
      <c r="C616" s="25"/>
      <c r="D616" s="9"/>
      <c r="H616" s="30"/>
      <c r="I616" s="30"/>
      <c r="J616" s="31"/>
      <c r="K616" s="30"/>
    </row>
    <row r="617">
      <c r="A617" s="37"/>
      <c r="B617" s="7"/>
      <c r="C617" s="25"/>
      <c r="D617" s="9"/>
      <c r="H617" s="30"/>
      <c r="I617" s="30"/>
      <c r="J617" s="31"/>
      <c r="K617" s="30"/>
    </row>
    <row r="618">
      <c r="A618" s="37"/>
      <c r="B618" s="7"/>
      <c r="C618" s="25"/>
      <c r="D618" s="9"/>
      <c r="H618" s="30"/>
      <c r="I618" s="30"/>
      <c r="J618" s="31"/>
      <c r="K618" s="30"/>
    </row>
    <row r="619">
      <c r="A619" s="37"/>
      <c r="B619" s="7"/>
      <c r="C619" s="25"/>
      <c r="D619" s="9"/>
      <c r="H619" s="30"/>
      <c r="I619" s="30"/>
      <c r="J619" s="31"/>
      <c r="K619" s="30"/>
    </row>
    <row r="620">
      <c r="A620" s="37"/>
      <c r="B620" s="7"/>
      <c r="C620" s="25"/>
      <c r="D620" s="9"/>
      <c r="H620" s="30"/>
      <c r="I620" s="30"/>
      <c r="J620" s="31"/>
      <c r="K620" s="30"/>
    </row>
    <row r="621">
      <c r="A621" s="37"/>
      <c r="B621" s="7"/>
      <c r="C621" s="25"/>
      <c r="D621" s="9"/>
      <c r="H621" s="30"/>
      <c r="I621" s="30"/>
      <c r="J621" s="31"/>
      <c r="K621" s="30"/>
    </row>
    <row r="622">
      <c r="A622" s="37"/>
      <c r="B622" s="7"/>
      <c r="C622" s="25"/>
      <c r="D622" s="9"/>
      <c r="H622" s="30"/>
      <c r="I622" s="30"/>
      <c r="J622" s="31"/>
      <c r="K622" s="30"/>
    </row>
    <row r="623">
      <c r="A623" s="37"/>
      <c r="B623" s="7"/>
      <c r="C623" s="25"/>
      <c r="D623" s="9"/>
      <c r="H623" s="30"/>
      <c r="I623" s="30"/>
      <c r="J623" s="31"/>
      <c r="K623" s="30"/>
    </row>
    <row r="624">
      <c r="A624" s="37"/>
      <c r="B624" s="7"/>
      <c r="C624" s="25"/>
      <c r="D624" s="9"/>
      <c r="H624" s="30"/>
      <c r="I624" s="30"/>
      <c r="J624" s="31"/>
      <c r="K624" s="30"/>
    </row>
    <row r="625">
      <c r="A625" s="37"/>
      <c r="B625" s="7"/>
      <c r="C625" s="25"/>
      <c r="D625" s="9"/>
      <c r="H625" s="30"/>
      <c r="I625" s="30"/>
      <c r="J625" s="31"/>
      <c r="K625" s="30"/>
    </row>
    <row r="626">
      <c r="A626" s="37"/>
      <c r="B626" s="7"/>
      <c r="C626" s="25"/>
      <c r="D626" s="9"/>
      <c r="H626" s="30"/>
      <c r="I626" s="30"/>
      <c r="J626" s="31"/>
      <c r="K626" s="30"/>
    </row>
    <row r="627">
      <c r="A627" s="37"/>
      <c r="B627" s="7"/>
      <c r="C627" s="25"/>
      <c r="D627" s="9"/>
      <c r="H627" s="30"/>
      <c r="I627" s="30"/>
      <c r="J627" s="31"/>
      <c r="K627" s="30"/>
    </row>
    <row r="628">
      <c r="A628" s="37"/>
      <c r="B628" s="7"/>
      <c r="C628" s="25"/>
      <c r="D628" s="9"/>
      <c r="H628" s="30"/>
      <c r="I628" s="30"/>
      <c r="J628" s="31"/>
      <c r="K628" s="30"/>
    </row>
    <row r="629">
      <c r="A629" s="37"/>
      <c r="B629" s="7"/>
      <c r="C629" s="25"/>
      <c r="D629" s="9"/>
      <c r="H629" s="30"/>
      <c r="I629" s="30"/>
      <c r="J629" s="31"/>
      <c r="K629" s="30"/>
    </row>
    <row r="630">
      <c r="A630" s="37"/>
      <c r="B630" s="7"/>
      <c r="C630" s="25"/>
      <c r="D630" s="9"/>
      <c r="H630" s="30"/>
      <c r="I630" s="30"/>
      <c r="J630" s="31"/>
      <c r="K630" s="30"/>
    </row>
    <row r="631">
      <c r="A631" s="37"/>
      <c r="B631" s="7"/>
      <c r="C631" s="25"/>
      <c r="D631" s="9"/>
      <c r="H631" s="30"/>
      <c r="I631" s="30"/>
      <c r="J631" s="31"/>
      <c r="K631" s="30"/>
    </row>
    <row r="632">
      <c r="A632" s="37"/>
      <c r="B632" s="7"/>
      <c r="C632" s="25"/>
      <c r="D632" s="9"/>
      <c r="H632" s="30"/>
      <c r="I632" s="30"/>
      <c r="J632" s="31"/>
      <c r="K632" s="30"/>
    </row>
    <row r="633">
      <c r="A633" s="37"/>
      <c r="B633" s="7"/>
      <c r="C633" s="25"/>
      <c r="D633" s="9"/>
      <c r="H633" s="30"/>
      <c r="I633" s="30"/>
      <c r="J633" s="31"/>
      <c r="K633" s="30"/>
    </row>
    <row r="634">
      <c r="A634" s="37"/>
      <c r="B634" s="7"/>
      <c r="C634" s="25"/>
      <c r="D634" s="9"/>
      <c r="H634" s="30"/>
      <c r="I634" s="30"/>
      <c r="J634" s="31"/>
      <c r="K634" s="30"/>
    </row>
    <row r="635">
      <c r="A635" s="37"/>
      <c r="B635" s="7"/>
      <c r="C635" s="25"/>
      <c r="D635" s="9"/>
      <c r="H635" s="30"/>
      <c r="I635" s="30"/>
      <c r="J635" s="31"/>
      <c r="K635" s="30"/>
    </row>
    <row r="636">
      <c r="A636" s="37"/>
      <c r="B636" s="7"/>
      <c r="C636" s="25"/>
      <c r="D636" s="9"/>
      <c r="H636" s="30"/>
      <c r="I636" s="30"/>
      <c r="J636" s="31"/>
      <c r="K636" s="30"/>
    </row>
    <row r="637">
      <c r="A637" s="37"/>
      <c r="B637" s="7"/>
      <c r="C637" s="25"/>
      <c r="D637" s="9"/>
      <c r="H637" s="30"/>
      <c r="I637" s="30"/>
      <c r="J637" s="31"/>
      <c r="K637" s="30"/>
    </row>
    <row r="638">
      <c r="A638" s="37"/>
      <c r="B638" s="7"/>
      <c r="C638" s="25"/>
      <c r="D638" s="9"/>
      <c r="H638" s="30"/>
      <c r="I638" s="30"/>
      <c r="J638" s="31"/>
      <c r="K638" s="30"/>
    </row>
    <row r="639">
      <c r="A639" s="37"/>
      <c r="B639" s="7"/>
      <c r="C639" s="25"/>
      <c r="D639" s="9"/>
      <c r="H639" s="30"/>
      <c r="I639" s="30"/>
      <c r="J639" s="31"/>
      <c r="K639" s="30"/>
    </row>
    <row r="640">
      <c r="A640" s="37"/>
      <c r="B640" s="7"/>
      <c r="C640" s="25"/>
      <c r="D640" s="9"/>
      <c r="H640" s="30"/>
      <c r="I640" s="30"/>
      <c r="J640" s="31"/>
      <c r="K640" s="30"/>
    </row>
    <row r="641">
      <c r="A641" s="37"/>
      <c r="B641" s="7"/>
      <c r="C641" s="25"/>
      <c r="D641" s="9"/>
      <c r="H641" s="30"/>
      <c r="I641" s="30"/>
      <c r="J641" s="31"/>
      <c r="K641" s="30"/>
    </row>
    <row r="642">
      <c r="A642" s="37"/>
      <c r="B642" s="7"/>
      <c r="C642" s="25"/>
      <c r="D642" s="9"/>
      <c r="H642" s="30"/>
      <c r="I642" s="30"/>
      <c r="J642" s="31"/>
      <c r="K642" s="30"/>
    </row>
    <row r="643">
      <c r="A643" s="37"/>
      <c r="B643" s="7"/>
      <c r="C643" s="25"/>
      <c r="D643" s="9"/>
      <c r="H643" s="30"/>
      <c r="I643" s="30"/>
      <c r="J643" s="31"/>
      <c r="K643" s="30"/>
    </row>
    <row r="644">
      <c r="A644" s="37"/>
      <c r="B644" s="7"/>
      <c r="C644" s="25"/>
      <c r="D644" s="9"/>
      <c r="H644" s="30"/>
      <c r="I644" s="30"/>
      <c r="J644" s="31"/>
      <c r="K644" s="30"/>
    </row>
    <row r="645">
      <c r="A645" s="37"/>
      <c r="B645" s="7"/>
      <c r="C645" s="25"/>
      <c r="D645" s="9"/>
      <c r="H645" s="30"/>
      <c r="I645" s="30"/>
      <c r="J645" s="31"/>
      <c r="K645" s="30"/>
    </row>
    <row r="646">
      <c r="A646" s="37"/>
      <c r="B646" s="7"/>
      <c r="C646" s="25"/>
      <c r="D646" s="9"/>
      <c r="H646" s="30"/>
      <c r="I646" s="30"/>
      <c r="J646" s="31"/>
      <c r="K646" s="30"/>
    </row>
    <row r="647">
      <c r="A647" s="37"/>
      <c r="B647" s="7"/>
      <c r="C647" s="25"/>
      <c r="D647" s="9"/>
      <c r="H647" s="30"/>
      <c r="I647" s="30"/>
      <c r="J647" s="31"/>
      <c r="K647" s="30"/>
    </row>
    <row r="648">
      <c r="A648" s="37"/>
      <c r="B648" s="7"/>
      <c r="C648" s="25"/>
      <c r="D648" s="9"/>
      <c r="H648" s="30"/>
      <c r="I648" s="30"/>
      <c r="J648" s="31"/>
      <c r="K648" s="30"/>
    </row>
    <row r="649">
      <c r="A649" s="37"/>
      <c r="B649" s="7"/>
      <c r="C649" s="25"/>
      <c r="D649" s="9"/>
      <c r="H649" s="30"/>
      <c r="I649" s="30"/>
      <c r="J649" s="31"/>
      <c r="K649" s="30"/>
    </row>
    <row r="650">
      <c r="A650" s="37"/>
      <c r="B650" s="7"/>
      <c r="C650" s="25"/>
      <c r="D650" s="9"/>
      <c r="H650" s="30"/>
      <c r="I650" s="30"/>
      <c r="J650" s="31"/>
      <c r="K650" s="30"/>
    </row>
    <row r="651">
      <c r="A651" s="37"/>
      <c r="B651" s="7"/>
      <c r="C651" s="25"/>
      <c r="D651" s="9"/>
      <c r="H651" s="30"/>
      <c r="I651" s="30"/>
      <c r="J651" s="31"/>
      <c r="K651" s="30"/>
    </row>
    <row r="652">
      <c r="A652" s="37"/>
      <c r="B652" s="7"/>
      <c r="C652" s="25"/>
      <c r="D652" s="9"/>
      <c r="H652" s="30"/>
      <c r="I652" s="30"/>
      <c r="J652" s="31"/>
      <c r="K652" s="30"/>
    </row>
    <row r="653">
      <c r="A653" s="37"/>
      <c r="B653" s="7"/>
      <c r="C653" s="25"/>
      <c r="D653" s="9"/>
      <c r="H653" s="30"/>
      <c r="I653" s="30"/>
      <c r="J653" s="31"/>
      <c r="K653" s="30"/>
    </row>
    <row r="654">
      <c r="A654" s="37"/>
      <c r="B654" s="7"/>
      <c r="C654" s="25"/>
      <c r="D654" s="9"/>
      <c r="H654" s="30"/>
      <c r="I654" s="30"/>
      <c r="J654" s="31"/>
      <c r="K654" s="30"/>
    </row>
    <row r="655">
      <c r="A655" s="37"/>
      <c r="B655" s="7"/>
      <c r="C655" s="25"/>
      <c r="D655" s="9"/>
      <c r="H655" s="30"/>
      <c r="I655" s="30"/>
      <c r="J655" s="31"/>
      <c r="K655" s="30"/>
    </row>
    <row r="656">
      <c r="A656" s="37"/>
      <c r="B656" s="7"/>
      <c r="C656" s="25"/>
      <c r="D656" s="9"/>
      <c r="H656" s="30"/>
      <c r="I656" s="30"/>
      <c r="J656" s="31"/>
      <c r="K656" s="30"/>
    </row>
    <row r="657">
      <c r="A657" s="37"/>
      <c r="B657" s="7"/>
      <c r="C657" s="25"/>
      <c r="D657" s="9"/>
      <c r="H657" s="30"/>
      <c r="I657" s="30"/>
      <c r="J657" s="31"/>
      <c r="K657" s="30"/>
    </row>
    <row r="658">
      <c r="A658" s="37"/>
      <c r="B658" s="7"/>
      <c r="C658" s="25"/>
      <c r="D658" s="9"/>
      <c r="H658" s="30"/>
      <c r="I658" s="30"/>
      <c r="J658" s="31"/>
      <c r="K658" s="30"/>
    </row>
    <row r="659">
      <c r="A659" s="37"/>
      <c r="B659" s="7"/>
      <c r="C659" s="25"/>
      <c r="D659" s="9"/>
      <c r="H659" s="30"/>
      <c r="I659" s="30"/>
      <c r="J659" s="31"/>
      <c r="K659" s="30"/>
    </row>
    <row r="660">
      <c r="A660" s="37"/>
      <c r="B660" s="7"/>
      <c r="C660" s="25"/>
      <c r="D660" s="9"/>
      <c r="H660" s="30"/>
      <c r="I660" s="30"/>
      <c r="J660" s="31"/>
      <c r="K660" s="30"/>
    </row>
    <row r="661">
      <c r="A661" s="37"/>
      <c r="B661" s="7"/>
      <c r="C661" s="25"/>
      <c r="D661" s="9"/>
      <c r="H661" s="30"/>
      <c r="I661" s="30"/>
      <c r="J661" s="31"/>
      <c r="K661" s="30"/>
    </row>
    <row r="662">
      <c r="A662" s="37"/>
      <c r="B662" s="7"/>
      <c r="C662" s="25"/>
      <c r="D662" s="9"/>
      <c r="H662" s="30"/>
      <c r="I662" s="30"/>
      <c r="J662" s="31"/>
      <c r="K662" s="30"/>
    </row>
    <row r="663">
      <c r="A663" s="37"/>
      <c r="B663" s="7"/>
      <c r="C663" s="25"/>
      <c r="D663" s="9"/>
      <c r="H663" s="30"/>
      <c r="I663" s="30"/>
      <c r="J663" s="31"/>
      <c r="K663" s="30"/>
    </row>
    <row r="664">
      <c r="A664" s="37"/>
      <c r="B664" s="7"/>
      <c r="C664" s="25"/>
      <c r="D664" s="9"/>
      <c r="H664" s="30"/>
      <c r="I664" s="30"/>
      <c r="J664" s="31"/>
      <c r="K664" s="30"/>
    </row>
    <row r="665">
      <c r="A665" s="37"/>
      <c r="B665" s="7"/>
      <c r="C665" s="25"/>
      <c r="D665" s="9"/>
      <c r="H665" s="30"/>
      <c r="I665" s="30"/>
      <c r="J665" s="31"/>
      <c r="K665" s="30"/>
    </row>
    <row r="666">
      <c r="A666" s="37"/>
      <c r="B666" s="7"/>
      <c r="C666" s="25"/>
      <c r="D666" s="9"/>
      <c r="H666" s="30"/>
      <c r="I666" s="30"/>
      <c r="J666" s="31"/>
      <c r="K666" s="30"/>
    </row>
    <row r="667">
      <c r="A667" s="37"/>
      <c r="B667" s="7"/>
      <c r="C667" s="25"/>
      <c r="D667" s="9"/>
      <c r="H667" s="30"/>
      <c r="I667" s="30"/>
      <c r="J667" s="31"/>
      <c r="K667" s="30"/>
    </row>
    <row r="668">
      <c r="A668" s="37"/>
      <c r="B668" s="7"/>
      <c r="C668" s="25"/>
      <c r="D668" s="9"/>
      <c r="H668" s="30"/>
      <c r="I668" s="30"/>
      <c r="J668" s="31"/>
      <c r="K668" s="30"/>
    </row>
    <row r="669">
      <c r="A669" s="37"/>
      <c r="B669" s="7"/>
      <c r="C669" s="25"/>
      <c r="D669" s="9"/>
      <c r="H669" s="30"/>
      <c r="I669" s="30"/>
      <c r="J669" s="31"/>
      <c r="K669" s="30"/>
    </row>
    <row r="670">
      <c r="A670" s="37"/>
      <c r="B670" s="7"/>
      <c r="C670" s="25"/>
      <c r="D670" s="9"/>
      <c r="H670" s="30"/>
      <c r="I670" s="30"/>
      <c r="J670" s="31"/>
      <c r="K670" s="30"/>
    </row>
    <row r="671">
      <c r="A671" s="37"/>
      <c r="B671" s="7"/>
      <c r="C671" s="25"/>
      <c r="D671" s="9"/>
      <c r="H671" s="30"/>
      <c r="I671" s="30"/>
      <c r="J671" s="31"/>
      <c r="K671" s="30"/>
    </row>
    <row r="672">
      <c r="A672" s="37"/>
      <c r="B672" s="7"/>
      <c r="C672" s="25"/>
      <c r="D672" s="9"/>
      <c r="H672" s="30"/>
      <c r="I672" s="30"/>
      <c r="J672" s="31"/>
      <c r="K672" s="30"/>
    </row>
    <row r="673">
      <c r="A673" s="37"/>
      <c r="B673" s="7"/>
      <c r="C673" s="25"/>
      <c r="D673" s="9"/>
      <c r="H673" s="30"/>
      <c r="I673" s="30"/>
      <c r="J673" s="31"/>
      <c r="K673" s="30"/>
    </row>
    <row r="674">
      <c r="A674" s="37"/>
      <c r="B674" s="7"/>
      <c r="C674" s="25"/>
      <c r="D674" s="9"/>
      <c r="H674" s="30"/>
      <c r="I674" s="30"/>
      <c r="J674" s="31"/>
      <c r="K674" s="30"/>
    </row>
    <row r="675">
      <c r="A675" s="37"/>
      <c r="B675" s="7"/>
      <c r="C675" s="25"/>
      <c r="D675" s="9"/>
      <c r="H675" s="30"/>
      <c r="I675" s="30"/>
      <c r="J675" s="31"/>
      <c r="K675" s="30"/>
    </row>
    <row r="676">
      <c r="A676" s="37"/>
      <c r="B676" s="7"/>
      <c r="C676" s="25"/>
      <c r="D676" s="9"/>
      <c r="H676" s="30"/>
      <c r="I676" s="30"/>
      <c r="J676" s="31"/>
      <c r="K676" s="30"/>
    </row>
    <row r="677">
      <c r="A677" s="37"/>
      <c r="B677" s="7"/>
      <c r="C677" s="25"/>
      <c r="D677" s="9"/>
      <c r="H677" s="30"/>
      <c r="I677" s="30"/>
      <c r="J677" s="31"/>
      <c r="K677" s="30"/>
    </row>
    <row r="678">
      <c r="A678" s="37"/>
      <c r="B678" s="7"/>
      <c r="C678" s="25"/>
      <c r="D678" s="9"/>
      <c r="H678" s="30"/>
      <c r="I678" s="30"/>
      <c r="J678" s="31"/>
      <c r="K678" s="30"/>
    </row>
    <row r="679">
      <c r="A679" s="37"/>
      <c r="B679" s="7"/>
      <c r="C679" s="25"/>
      <c r="D679" s="9"/>
      <c r="H679" s="30"/>
      <c r="I679" s="30"/>
      <c r="J679" s="31"/>
      <c r="K679" s="30"/>
    </row>
    <row r="680">
      <c r="A680" s="37"/>
      <c r="B680" s="7"/>
      <c r="C680" s="25"/>
      <c r="D680" s="9"/>
      <c r="H680" s="30"/>
      <c r="I680" s="30"/>
      <c r="J680" s="31"/>
      <c r="K680" s="30"/>
    </row>
    <row r="681">
      <c r="A681" s="37"/>
      <c r="B681" s="7"/>
      <c r="C681" s="25"/>
      <c r="D681" s="9"/>
      <c r="H681" s="30"/>
      <c r="I681" s="30"/>
      <c r="J681" s="31"/>
      <c r="K681" s="30"/>
    </row>
    <row r="682">
      <c r="A682" s="37"/>
      <c r="B682" s="7"/>
      <c r="C682" s="25"/>
      <c r="D682" s="9"/>
      <c r="H682" s="30"/>
      <c r="I682" s="30"/>
      <c r="J682" s="31"/>
      <c r="K682" s="30"/>
    </row>
    <row r="683">
      <c r="A683" s="37"/>
      <c r="B683" s="7"/>
      <c r="C683" s="25"/>
      <c r="D683" s="9"/>
      <c r="H683" s="30"/>
      <c r="I683" s="30"/>
      <c r="J683" s="31"/>
      <c r="K683" s="30"/>
    </row>
    <row r="684">
      <c r="A684" s="37"/>
      <c r="B684" s="7"/>
      <c r="C684" s="25"/>
      <c r="D684" s="9"/>
      <c r="H684" s="30"/>
      <c r="I684" s="30"/>
      <c r="J684" s="31"/>
      <c r="K684" s="30"/>
    </row>
    <row r="685">
      <c r="A685" s="37"/>
      <c r="B685" s="7"/>
      <c r="C685" s="25"/>
      <c r="D685" s="9"/>
      <c r="H685" s="30"/>
      <c r="I685" s="30"/>
      <c r="J685" s="31"/>
      <c r="K685" s="30"/>
    </row>
    <row r="686">
      <c r="A686" s="37"/>
      <c r="B686" s="7"/>
      <c r="C686" s="25"/>
      <c r="D686" s="9"/>
      <c r="H686" s="30"/>
      <c r="I686" s="30"/>
      <c r="J686" s="31"/>
      <c r="K686" s="30"/>
    </row>
    <row r="687">
      <c r="A687" s="37"/>
      <c r="B687" s="7"/>
      <c r="C687" s="25"/>
      <c r="D687" s="9"/>
      <c r="H687" s="30"/>
      <c r="I687" s="30"/>
      <c r="J687" s="31"/>
      <c r="K687" s="30"/>
    </row>
    <row r="688">
      <c r="A688" s="37"/>
      <c r="B688" s="7"/>
      <c r="C688" s="25"/>
      <c r="D688" s="9"/>
      <c r="H688" s="30"/>
      <c r="I688" s="30"/>
      <c r="J688" s="31"/>
      <c r="K688" s="30"/>
    </row>
    <row r="689">
      <c r="A689" s="37"/>
      <c r="B689" s="7"/>
      <c r="C689" s="25"/>
      <c r="D689" s="9"/>
      <c r="H689" s="30"/>
      <c r="I689" s="30"/>
      <c r="J689" s="31"/>
      <c r="K689" s="30"/>
    </row>
    <row r="690">
      <c r="A690" s="37"/>
      <c r="B690" s="7"/>
      <c r="C690" s="25"/>
      <c r="D690" s="9"/>
      <c r="H690" s="30"/>
      <c r="I690" s="30"/>
      <c r="J690" s="31"/>
      <c r="K690" s="30"/>
    </row>
    <row r="691">
      <c r="A691" s="37"/>
      <c r="B691" s="7"/>
      <c r="C691" s="25"/>
      <c r="D691" s="9"/>
      <c r="H691" s="30"/>
      <c r="I691" s="30"/>
      <c r="J691" s="31"/>
      <c r="K691" s="30"/>
    </row>
    <row r="692">
      <c r="A692" s="37"/>
      <c r="B692" s="7"/>
      <c r="C692" s="25"/>
      <c r="D692" s="9"/>
      <c r="H692" s="30"/>
      <c r="I692" s="30"/>
      <c r="J692" s="31"/>
      <c r="K692" s="30"/>
    </row>
    <row r="693">
      <c r="A693" s="37"/>
      <c r="B693" s="7"/>
      <c r="C693" s="25"/>
      <c r="D693" s="9"/>
      <c r="H693" s="30"/>
      <c r="I693" s="30"/>
      <c r="J693" s="31"/>
      <c r="K693" s="30"/>
    </row>
    <row r="694">
      <c r="A694" s="37"/>
      <c r="B694" s="7"/>
      <c r="C694" s="25"/>
      <c r="D694" s="9"/>
      <c r="H694" s="30"/>
      <c r="I694" s="30"/>
      <c r="J694" s="31"/>
      <c r="K694" s="30"/>
    </row>
    <row r="695">
      <c r="A695" s="37"/>
      <c r="B695" s="7"/>
      <c r="C695" s="25"/>
      <c r="D695" s="9"/>
      <c r="H695" s="30"/>
      <c r="I695" s="30"/>
      <c r="J695" s="31"/>
      <c r="K695" s="30"/>
    </row>
    <row r="696">
      <c r="A696" s="37"/>
      <c r="B696" s="7"/>
      <c r="C696" s="25"/>
      <c r="D696" s="9"/>
      <c r="H696" s="30"/>
      <c r="I696" s="30"/>
      <c r="J696" s="31"/>
      <c r="K696" s="30"/>
    </row>
    <row r="697">
      <c r="A697" s="37"/>
      <c r="B697" s="7"/>
      <c r="C697" s="25"/>
      <c r="D697" s="9"/>
      <c r="H697" s="30"/>
      <c r="I697" s="30"/>
      <c r="J697" s="31"/>
      <c r="K697" s="30"/>
    </row>
    <row r="698">
      <c r="A698" s="37"/>
      <c r="B698" s="7"/>
      <c r="C698" s="25"/>
      <c r="D698" s="9"/>
      <c r="H698" s="30"/>
      <c r="I698" s="30"/>
      <c r="J698" s="31"/>
      <c r="K698" s="30"/>
    </row>
    <row r="699">
      <c r="A699" s="37"/>
      <c r="B699" s="7"/>
      <c r="C699" s="25"/>
      <c r="D699" s="9"/>
      <c r="H699" s="30"/>
      <c r="I699" s="30"/>
      <c r="J699" s="31"/>
      <c r="K699" s="30"/>
    </row>
    <row r="700">
      <c r="A700" s="37"/>
      <c r="B700" s="7"/>
      <c r="C700" s="25"/>
      <c r="D700" s="9"/>
      <c r="H700" s="30"/>
      <c r="I700" s="30"/>
      <c r="J700" s="31"/>
      <c r="K700" s="30"/>
    </row>
    <row r="701">
      <c r="A701" s="37"/>
      <c r="B701" s="7"/>
      <c r="C701" s="25"/>
      <c r="D701" s="9"/>
      <c r="H701" s="30"/>
      <c r="I701" s="30"/>
      <c r="J701" s="31"/>
      <c r="K701" s="30"/>
    </row>
    <row r="702">
      <c r="A702" s="37"/>
      <c r="B702" s="7"/>
      <c r="C702" s="25"/>
      <c r="D702" s="9"/>
      <c r="H702" s="30"/>
      <c r="I702" s="30"/>
      <c r="J702" s="31"/>
      <c r="K702" s="30"/>
    </row>
    <row r="703">
      <c r="A703" s="37"/>
      <c r="B703" s="7"/>
      <c r="C703" s="25"/>
      <c r="D703" s="9"/>
      <c r="H703" s="30"/>
      <c r="I703" s="30"/>
      <c r="J703" s="31"/>
      <c r="K703" s="30"/>
    </row>
    <row r="704">
      <c r="A704" s="37"/>
      <c r="B704" s="7"/>
      <c r="C704" s="25"/>
      <c r="D704" s="9"/>
      <c r="H704" s="30"/>
      <c r="I704" s="30"/>
      <c r="J704" s="31"/>
      <c r="K704" s="30"/>
    </row>
    <row r="705">
      <c r="A705" s="37"/>
      <c r="B705" s="7"/>
      <c r="C705" s="25"/>
      <c r="D705" s="9"/>
      <c r="H705" s="30"/>
      <c r="I705" s="30"/>
      <c r="J705" s="31"/>
      <c r="K705" s="30"/>
    </row>
    <row r="706">
      <c r="A706" s="37"/>
      <c r="B706" s="7"/>
      <c r="C706" s="25"/>
      <c r="D706" s="9"/>
      <c r="H706" s="30"/>
      <c r="I706" s="30"/>
      <c r="J706" s="31"/>
      <c r="K706" s="30"/>
    </row>
    <row r="707">
      <c r="A707" s="37"/>
      <c r="B707" s="7"/>
      <c r="C707" s="25"/>
      <c r="D707" s="9"/>
      <c r="H707" s="30"/>
      <c r="I707" s="30"/>
      <c r="J707" s="31"/>
      <c r="K707" s="30"/>
    </row>
    <row r="708">
      <c r="A708" s="37"/>
      <c r="B708" s="7"/>
      <c r="C708" s="25"/>
      <c r="D708" s="9"/>
      <c r="H708" s="30"/>
      <c r="I708" s="30"/>
      <c r="J708" s="31"/>
      <c r="K708" s="30"/>
    </row>
    <row r="709">
      <c r="A709" s="37"/>
      <c r="B709" s="7"/>
      <c r="C709" s="25"/>
      <c r="D709" s="9"/>
      <c r="H709" s="30"/>
      <c r="I709" s="30"/>
      <c r="J709" s="31"/>
      <c r="K709" s="30"/>
    </row>
    <row r="710">
      <c r="A710" s="37"/>
      <c r="B710" s="7"/>
      <c r="C710" s="25"/>
      <c r="D710" s="9"/>
      <c r="H710" s="30"/>
      <c r="I710" s="30"/>
      <c r="J710" s="31"/>
      <c r="K710" s="30"/>
    </row>
    <row r="711">
      <c r="A711" s="37"/>
      <c r="B711" s="7"/>
      <c r="C711" s="25"/>
      <c r="D711" s="9"/>
      <c r="H711" s="30"/>
      <c r="I711" s="30"/>
      <c r="J711" s="31"/>
      <c r="K711" s="30"/>
    </row>
    <row r="712">
      <c r="A712" s="37"/>
      <c r="B712" s="7"/>
      <c r="C712" s="25"/>
      <c r="D712" s="9"/>
      <c r="H712" s="30"/>
      <c r="I712" s="30"/>
      <c r="J712" s="31"/>
      <c r="K712" s="30"/>
    </row>
    <row r="713">
      <c r="A713" s="37"/>
      <c r="B713" s="7"/>
      <c r="C713" s="25"/>
      <c r="D713" s="9"/>
      <c r="H713" s="30"/>
      <c r="I713" s="30"/>
      <c r="J713" s="31"/>
      <c r="K713" s="30"/>
    </row>
    <row r="714">
      <c r="A714" s="37"/>
      <c r="B714" s="7"/>
      <c r="C714" s="25"/>
      <c r="D714" s="9"/>
      <c r="H714" s="30"/>
      <c r="I714" s="30"/>
      <c r="J714" s="31"/>
      <c r="K714" s="30"/>
    </row>
    <row r="715">
      <c r="A715" s="37"/>
      <c r="B715" s="7"/>
      <c r="C715" s="25"/>
      <c r="D715" s="9"/>
      <c r="H715" s="30"/>
      <c r="I715" s="30"/>
      <c r="J715" s="31"/>
      <c r="K715" s="30"/>
    </row>
    <row r="716">
      <c r="A716" s="37"/>
      <c r="B716" s="7"/>
      <c r="C716" s="25"/>
      <c r="D716" s="9"/>
      <c r="H716" s="30"/>
      <c r="I716" s="30"/>
      <c r="J716" s="31"/>
      <c r="K716" s="30"/>
    </row>
    <row r="717">
      <c r="A717" s="37"/>
      <c r="B717" s="7"/>
      <c r="C717" s="25"/>
      <c r="D717" s="9"/>
      <c r="H717" s="30"/>
      <c r="I717" s="30"/>
      <c r="J717" s="31"/>
      <c r="K717" s="30"/>
    </row>
    <row r="718">
      <c r="A718" s="37"/>
      <c r="B718" s="7"/>
      <c r="C718" s="25"/>
      <c r="D718" s="9"/>
      <c r="H718" s="30"/>
      <c r="I718" s="30"/>
      <c r="J718" s="31"/>
      <c r="K718" s="30"/>
    </row>
    <row r="719">
      <c r="A719" s="37"/>
      <c r="B719" s="7"/>
      <c r="C719" s="25"/>
      <c r="D719" s="9"/>
      <c r="H719" s="30"/>
      <c r="I719" s="30"/>
      <c r="J719" s="31"/>
      <c r="K719" s="30"/>
    </row>
    <row r="720">
      <c r="A720" s="37"/>
      <c r="B720" s="7"/>
      <c r="C720" s="25"/>
      <c r="D720" s="9"/>
      <c r="H720" s="30"/>
      <c r="I720" s="30"/>
      <c r="J720" s="31"/>
      <c r="K720" s="30"/>
    </row>
    <row r="721">
      <c r="A721" s="37"/>
      <c r="B721" s="7"/>
      <c r="C721" s="25"/>
      <c r="D721" s="9"/>
      <c r="H721" s="30"/>
      <c r="I721" s="30"/>
      <c r="J721" s="31"/>
      <c r="K721" s="30"/>
    </row>
    <row r="722">
      <c r="A722" s="37"/>
      <c r="B722" s="7"/>
      <c r="C722" s="25"/>
      <c r="D722" s="9"/>
      <c r="H722" s="30"/>
      <c r="I722" s="30"/>
      <c r="J722" s="31"/>
      <c r="K722" s="30"/>
    </row>
    <row r="723">
      <c r="A723" s="37"/>
      <c r="B723" s="7"/>
      <c r="C723" s="25"/>
      <c r="D723" s="9"/>
      <c r="H723" s="30"/>
      <c r="I723" s="30"/>
      <c r="J723" s="31"/>
      <c r="K723" s="30"/>
    </row>
    <row r="724">
      <c r="A724" s="37"/>
      <c r="B724" s="7"/>
      <c r="C724" s="25"/>
      <c r="D724" s="9"/>
      <c r="H724" s="30"/>
      <c r="I724" s="30"/>
      <c r="J724" s="31"/>
      <c r="K724" s="30"/>
    </row>
    <row r="725">
      <c r="A725" s="37"/>
      <c r="B725" s="7"/>
      <c r="C725" s="25"/>
      <c r="D725" s="9"/>
      <c r="H725" s="30"/>
      <c r="I725" s="30"/>
      <c r="J725" s="31"/>
      <c r="K725" s="30"/>
    </row>
    <row r="726">
      <c r="A726" s="37"/>
      <c r="B726" s="7"/>
      <c r="C726" s="25"/>
      <c r="D726" s="9"/>
      <c r="H726" s="30"/>
      <c r="I726" s="30"/>
      <c r="J726" s="31"/>
      <c r="K726" s="30"/>
    </row>
    <row r="727">
      <c r="A727" s="37"/>
      <c r="B727" s="7"/>
      <c r="C727" s="25"/>
      <c r="D727" s="9"/>
      <c r="H727" s="30"/>
      <c r="I727" s="30"/>
      <c r="J727" s="31"/>
      <c r="K727" s="30"/>
    </row>
    <row r="728">
      <c r="A728" s="37"/>
      <c r="B728" s="7"/>
      <c r="C728" s="25"/>
      <c r="D728" s="9"/>
      <c r="H728" s="30"/>
      <c r="I728" s="30"/>
      <c r="J728" s="31"/>
      <c r="K728" s="30"/>
    </row>
    <row r="729">
      <c r="A729" s="37"/>
      <c r="B729" s="7"/>
      <c r="C729" s="25"/>
      <c r="D729" s="9"/>
      <c r="H729" s="30"/>
      <c r="I729" s="30"/>
      <c r="J729" s="31"/>
      <c r="K729" s="30"/>
    </row>
    <row r="730">
      <c r="A730" s="37"/>
      <c r="B730" s="7"/>
      <c r="C730" s="25"/>
      <c r="D730" s="9"/>
      <c r="H730" s="30"/>
      <c r="I730" s="30"/>
      <c r="J730" s="31"/>
      <c r="K730" s="30"/>
    </row>
    <row r="731">
      <c r="A731" s="37"/>
      <c r="B731" s="7"/>
      <c r="C731" s="25"/>
      <c r="D731" s="9"/>
      <c r="H731" s="30"/>
      <c r="I731" s="30"/>
      <c r="J731" s="31"/>
      <c r="K731" s="30"/>
    </row>
    <row r="732">
      <c r="A732" s="37"/>
      <c r="B732" s="7"/>
      <c r="C732" s="25"/>
      <c r="D732" s="9"/>
      <c r="H732" s="30"/>
      <c r="I732" s="30"/>
      <c r="J732" s="31"/>
      <c r="K732" s="30"/>
    </row>
    <row r="733">
      <c r="A733" s="37"/>
      <c r="B733" s="7"/>
      <c r="C733" s="25"/>
      <c r="D733" s="9"/>
      <c r="H733" s="30"/>
      <c r="I733" s="30"/>
      <c r="J733" s="31"/>
      <c r="K733" s="30"/>
    </row>
    <row r="734">
      <c r="A734" s="37"/>
      <c r="B734" s="7"/>
      <c r="C734" s="25"/>
      <c r="D734" s="9"/>
      <c r="H734" s="30"/>
      <c r="I734" s="30"/>
      <c r="J734" s="31"/>
      <c r="K734" s="30"/>
    </row>
    <row r="735">
      <c r="A735" s="37"/>
      <c r="B735" s="7"/>
      <c r="C735" s="25"/>
      <c r="D735" s="9"/>
      <c r="H735" s="30"/>
      <c r="I735" s="30"/>
      <c r="J735" s="31"/>
      <c r="K735" s="30"/>
    </row>
    <row r="736">
      <c r="A736" s="37"/>
      <c r="B736" s="7"/>
      <c r="C736" s="25"/>
      <c r="D736" s="9"/>
      <c r="H736" s="30"/>
      <c r="I736" s="30"/>
      <c r="J736" s="31"/>
      <c r="K736" s="30"/>
    </row>
    <row r="737">
      <c r="A737" s="37"/>
      <c r="B737" s="7"/>
      <c r="C737" s="25"/>
      <c r="D737" s="9"/>
      <c r="H737" s="30"/>
      <c r="I737" s="30"/>
      <c r="J737" s="31"/>
      <c r="K737" s="30"/>
    </row>
    <row r="738">
      <c r="A738" s="37"/>
      <c r="B738" s="7"/>
      <c r="C738" s="25"/>
      <c r="D738" s="9"/>
      <c r="H738" s="30"/>
      <c r="I738" s="30"/>
      <c r="J738" s="31"/>
      <c r="K738" s="30"/>
    </row>
    <row r="739">
      <c r="A739" s="37"/>
      <c r="B739" s="7"/>
      <c r="C739" s="25"/>
      <c r="D739" s="9"/>
      <c r="H739" s="30"/>
      <c r="I739" s="30"/>
      <c r="J739" s="31"/>
      <c r="K739" s="30"/>
    </row>
    <row r="740">
      <c r="A740" s="37"/>
      <c r="B740" s="7"/>
      <c r="C740" s="25"/>
      <c r="D740" s="9"/>
      <c r="H740" s="30"/>
      <c r="I740" s="30"/>
      <c r="J740" s="31"/>
      <c r="K740" s="30"/>
    </row>
    <row r="741">
      <c r="A741" s="37"/>
      <c r="B741" s="7"/>
      <c r="C741" s="25"/>
      <c r="D741" s="9"/>
      <c r="H741" s="30"/>
      <c r="I741" s="30"/>
      <c r="J741" s="31"/>
      <c r="K741" s="30"/>
    </row>
    <row r="742">
      <c r="A742" s="37"/>
      <c r="B742" s="7"/>
      <c r="C742" s="25"/>
      <c r="D742" s="9"/>
      <c r="H742" s="30"/>
      <c r="I742" s="30"/>
      <c r="J742" s="31"/>
      <c r="K742" s="30"/>
    </row>
    <row r="743">
      <c r="A743" s="37"/>
      <c r="B743" s="7"/>
      <c r="C743" s="25"/>
      <c r="D743" s="9"/>
      <c r="H743" s="30"/>
      <c r="I743" s="30"/>
      <c r="J743" s="31"/>
      <c r="K743" s="30"/>
    </row>
    <row r="744">
      <c r="A744" s="37"/>
      <c r="B744" s="7"/>
      <c r="C744" s="25"/>
      <c r="D744" s="9"/>
      <c r="H744" s="30"/>
      <c r="I744" s="30"/>
      <c r="J744" s="31"/>
      <c r="K744" s="30"/>
    </row>
    <row r="745">
      <c r="A745" s="37"/>
      <c r="B745" s="7"/>
      <c r="C745" s="25"/>
      <c r="D745" s="9"/>
      <c r="H745" s="30"/>
      <c r="I745" s="30"/>
      <c r="J745" s="31"/>
      <c r="K745" s="30"/>
    </row>
    <row r="746">
      <c r="A746" s="37"/>
      <c r="B746" s="7"/>
      <c r="C746" s="25"/>
      <c r="D746" s="9"/>
      <c r="H746" s="30"/>
      <c r="I746" s="30"/>
      <c r="J746" s="31"/>
      <c r="K746" s="30"/>
    </row>
    <row r="747">
      <c r="A747" s="37"/>
      <c r="B747" s="7"/>
      <c r="C747" s="25"/>
      <c r="D747" s="9"/>
      <c r="H747" s="30"/>
      <c r="I747" s="30"/>
      <c r="J747" s="31"/>
      <c r="K747" s="30"/>
    </row>
    <row r="748">
      <c r="A748" s="37"/>
      <c r="B748" s="7"/>
      <c r="C748" s="25"/>
      <c r="D748" s="9"/>
      <c r="H748" s="30"/>
      <c r="I748" s="30"/>
      <c r="J748" s="31"/>
      <c r="K748" s="30"/>
    </row>
    <row r="749">
      <c r="A749" s="37"/>
      <c r="B749" s="7"/>
      <c r="C749" s="25"/>
      <c r="D749" s="9"/>
      <c r="H749" s="30"/>
      <c r="I749" s="30"/>
      <c r="J749" s="31"/>
      <c r="K749" s="30"/>
    </row>
    <row r="750">
      <c r="A750" s="37"/>
      <c r="B750" s="7"/>
      <c r="C750" s="25"/>
      <c r="D750" s="9"/>
      <c r="H750" s="30"/>
      <c r="I750" s="30"/>
      <c r="J750" s="31"/>
      <c r="K750" s="30"/>
    </row>
    <row r="751">
      <c r="A751" s="37"/>
      <c r="B751" s="7"/>
      <c r="C751" s="25"/>
      <c r="D751" s="9"/>
      <c r="H751" s="30"/>
      <c r="I751" s="30"/>
      <c r="J751" s="31"/>
      <c r="K751" s="30"/>
    </row>
    <row r="752">
      <c r="A752" s="37"/>
      <c r="B752" s="7"/>
      <c r="C752" s="25"/>
      <c r="D752" s="9"/>
      <c r="H752" s="30"/>
      <c r="I752" s="30"/>
      <c r="J752" s="31"/>
      <c r="K752" s="30"/>
    </row>
    <row r="753">
      <c r="A753" s="37"/>
      <c r="B753" s="7"/>
      <c r="C753" s="25"/>
      <c r="D753" s="9"/>
      <c r="H753" s="30"/>
      <c r="I753" s="30"/>
      <c r="J753" s="31"/>
      <c r="K753" s="30"/>
    </row>
    <row r="754">
      <c r="A754" s="37"/>
      <c r="B754" s="7"/>
      <c r="C754" s="25"/>
      <c r="D754" s="9"/>
      <c r="H754" s="30"/>
      <c r="I754" s="30"/>
      <c r="J754" s="31"/>
      <c r="K754" s="30"/>
    </row>
    <row r="755">
      <c r="A755" s="37"/>
      <c r="B755" s="7"/>
      <c r="C755" s="25"/>
      <c r="D755" s="9"/>
      <c r="H755" s="30"/>
      <c r="I755" s="30"/>
      <c r="J755" s="31"/>
      <c r="K755" s="30"/>
    </row>
    <row r="756">
      <c r="A756" s="37"/>
      <c r="B756" s="7"/>
      <c r="C756" s="25"/>
      <c r="D756" s="9"/>
      <c r="H756" s="30"/>
      <c r="I756" s="30"/>
      <c r="J756" s="31"/>
      <c r="K756" s="30"/>
    </row>
    <row r="757">
      <c r="A757" s="37"/>
      <c r="B757" s="7"/>
      <c r="C757" s="25"/>
      <c r="D757" s="9"/>
      <c r="H757" s="30"/>
      <c r="I757" s="30"/>
      <c r="J757" s="31"/>
      <c r="K757" s="30"/>
    </row>
    <row r="758">
      <c r="A758" s="37"/>
      <c r="B758" s="7"/>
      <c r="C758" s="25"/>
      <c r="D758" s="9"/>
      <c r="H758" s="30"/>
      <c r="I758" s="30"/>
      <c r="J758" s="31"/>
      <c r="K758" s="30"/>
    </row>
    <row r="759">
      <c r="A759" s="37"/>
      <c r="B759" s="7"/>
      <c r="C759" s="25"/>
      <c r="D759" s="9"/>
      <c r="H759" s="30"/>
      <c r="I759" s="30"/>
      <c r="J759" s="31"/>
      <c r="K759" s="30"/>
    </row>
    <row r="760">
      <c r="A760" s="37"/>
      <c r="B760" s="7"/>
      <c r="C760" s="25"/>
      <c r="D760" s="9"/>
      <c r="H760" s="30"/>
      <c r="I760" s="30"/>
      <c r="J760" s="31"/>
      <c r="K760" s="30"/>
    </row>
    <row r="761">
      <c r="A761" s="37"/>
      <c r="B761" s="7"/>
      <c r="C761" s="25"/>
      <c r="D761" s="9"/>
      <c r="H761" s="30"/>
      <c r="I761" s="30"/>
      <c r="J761" s="31"/>
      <c r="K761" s="30"/>
    </row>
    <row r="762">
      <c r="A762" s="37"/>
      <c r="B762" s="7"/>
      <c r="C762" s="25"/>
      <c r="D762" s="9"/>
      <c r="H762" s="30"/>
      <c r="I762" s="30"/>
      <c r="J762" s="31"/>
      <c r="K762" s="30"/>
    </row>
    <row r="763">
      <c r="A763" s="37"/>
      <c r="B763" s="7"/>
      <c r="C763" s="25"/>
      <c r="D763" s="9"/>
      <c r="H763" s="30"/>
      <c r="I763" s="30"/>
      <c r="J763" s="31"/>
      <c r="K763" s="30"/>
    </row>
    <row r="764">
      <c r="A764" s="37"/>
      <c r="B764" s="7"/>
      <c r="C764" s="25"/>
      <c r="D764" s="9"/>
      <c r="H764" s="30"/>
      <c r="I764" s="30"/>
      <c r="J764" s="31"/>
      <c r="K764" s="30"/>
    </row>
    <row r="765">
      <c r="A765" s="37"/>
      <c r="B765" s="7"/>
      <c r="C765" s="25"/>
      <c r="D765" s="9"/>
      <c r="H765" s="30"/>
      <c r="I765" s="30"/>
      <c r="J765" s="31"/>
      <c r="K765" s="30"/>
    </row>
    <row r="766">
      <c r="A766" s="37"/>
      <c r="B766" s="7"/>
      <c r="C766" s="25"/>
      <c r="D766" s="9"/>
      <c r="H766" s="30"/>
      <c r="I766" s="30"/>
      <c r="J766" s="31"/>
      <c r="K766" s="30"/>
    </row>
    <row r="767">
      <c r="A767" s="37"/>
      <c r="B767" s="7"/>
      <c r="C767" s="25"/>
      <c r="D767" s="9"/>
      <c r="H767" s="30"/>
      <c r="I767" s="30"/>
      <c r="J767" s="31"/>
      <c r="K767" s="30"/>
    </row>
    <row r="768">
      <c r="A768" s="37"/>
      <c r="B768" s="7"/>
      <c r="C768" s="25"/>
      <c r="D768" s="9"/>
      <c r="H768" s="30"/>
      <c r="I768" s="30"/>
      <c r="J768" s="31"/>
      <c r="K768" s="30"/>
    </row>
    <row r="769">
      <c r="A769" s="37"/>
      <c r="B769" s="7"/>
      <c r="C769" s="25"/>
      <c r="D769" s="9"/>
      <c r="H769" s="30"/>
      <c r="I769" s="30"/>
      <c r="J769" s="31"/>
      <c r="K769" s="30"/>
    </row>
    <row r="770">
      <c r="A770" s="37"/>
      <c r="B770" s="7"/>
      <c r="C770" s="25"/>
      <c r="D770" s="9"/>
      <c r="H770" s="30"/>
      <c r="I770" s="30"/>
      <c r="J770" s="31"/>
      <c r="K770" s="30"/>
    </row>
    <row r="771">
      <c r="A771" s="37"/>
      <c r="B771" s="7"/>
      <c r="C771" s="25"/>
      <c r="D771" s="9"/>
      <c r="H771" s="30"/>
      <c r="I771" s="30"/>
      <c r="J771" s="31"/>
      <c r="K771" s="30"/>
    </row>
    <row r="772">
      <c r="A772" s="37"/>
      <c r="B772" s="7"/>
      <c r="C772" s="25"/>
      <c r="D772" s="9"/>
      <c r="H772" s="30"/>
      <c r="I772" s="30"/>
      <c r="J772" s="31"/>
      <c r="K772" s="30"/>
    </row>
    <row r="773">
      <c r="A773" s="37"/>
      <c r="B773" s="7"/>
      <c r="C773" s="25"/>
      <c r="D773" s="9"/>
      <c r="H773" s="30"/>
      <c r="I773" s="30"/>
      <c r="J773" s="31"/>
      <c r="K773" s="30"/>
    </row>
    <row r="774">
      <c r="A774" s="37"/>
      <c r="B774" s="7"/>
      <c r="C774" s="25"/>
      <c r="D774" s="9"/>
      <c r="H774" s="30"/>
      <c r="I774" s="30"/>
      <c r="J774" s="31"/>
      <c r="K774" s="30"/>
    </row>
    <row r="775">
      <c r="A775" s="37"/>
      <c r="B775" s="7"/>
      <c r="C775" s="25"/>
      <c r="D775" s="9"/>
      <c r="H775" s="30"/>
      <c r="I775" s="30"/>
      <c r="J775" s="31"/>
      <c r="K775" s="30"/>
    </row>
    <row r="776">
      <c r="A776" s="37"/>
      <c r="B776" s="7"/>
      <c r="C776" s="25"/>
      <c r="D776" s="9"/>
      <c r="H776" s="30"/>
      <c r="I776" s="30"/>
      <c r="J776" s="31"/>
      <c r="K776" s="30"/>
    </row>
    <row r="777">
      <c r="A777" s="37"/>
      <c r="B777" s="7"/>
      <c r="C777" s="25"/>
      <c r="D777" s="9"/>
      <c r="H777" s="30"/>
      <c r="I777" s="30"/>
      <c r="J777" s="31"/>
      <c r="K777" s="30"/>
    </row>
    <row r="778">
      <c r="A778" s="37"/>
      <c r="B778" s="7"/>
      <c r="C778" s="25"/>
      <c r="D778" s="9"/>
      <c r="H778" s="30"/>
      <c r="I778" s="30"/>
      <c r="J778" s="31"/>
      <c r="K778" s="30"/>
    </row>
    <row r="779">
      <c r="A779" s="37"/>
      <c r="B779" s="7"/>
      <c r="C779" s="25"/>
      <c r="D779" s="9"/>
      <c r="H779" s="30"/>
      <c r="I779" s="30"/>
      <c r="J779" s="31"/>
      <c r="K779" s="30"/>
    </row>
    <row r="780">
      <c r="A780" s="37"/>
      <c r="B780" s="7"/>
      <c r="C780" s="25"/>
      <c r="D780" s="9"/>
      <c r="H780" s="30"/>
      <c r="I780" s="30"/>
      <c r="J780" s="31"/>
      <c r="K780" s="30"/>
    </row>
    <row r="781">
      <c r="A781" s="37"/>
      <c r="B781" s="7"/>
      <c r="C781" s="25"/>
      <c r="D781" s="9"/>
      <c r="H781" s="30"/>
      <c r="I781" s="30"/>
      <c r="J781" s="31"/>
      <c r="K781" s="30"/>
    </row>
    <row r="782">
      <c r="A782" s="37"/>
      <c r="B782" s="7"/>
      <c r="C782" s="25"/>
      <c r="D782" s="9"/>
      <c r="H782" s="30"/>
      <c r="I782" s="30"/>
      <c r="J782" s="31"/>
      <c r="K782" s="30"/>
    </row>
    <row r="783">
      <c r="A783" s="37"/>
      <c r="B783" s="7"/>
      <c r="C783" s="25"/>
      <c r="D783" s="9"/>
      <c r="H783" s="30"/>
      <c r="I783" s="30"/>
      <c r="J783" s="31"/>
      <c r="K783" s="30"/>
    </row>
    <row r="784">
      <c r="A784" s="37"/>
      <c r="B784" s="7"/>
      <c r="C784" s="25"/>
      <c r="D784" s="9"/>
      <c r="H784" s="30"/>
      <c r="I784" s="30"/>
      <c r="J784" s="31"/>
      <c r="K784" s="30"/>
    </row>
    <row r="785">
      <c r="A785" s="37"/>
      <c r="B785" s="7"/>
      <c r="C785" s="25"/>
      <c r="D785" s="9"/>
      <c r="H785" s="30"/>
      <c r="I785" s="30"/>
      <c r="J785" s="31"/>
      <c r="K785" s="30"/>
    </row>
    <row r="786">
      <c r="A786" s="37"/>
      <c r="B786" s="7"/>
      <c r="C786" s="25"/>
      <c r="D786" s="9"/>
      <c r="H786" s="30"/>
      <c r="I786" s="30"/>
      <c r="J786" s="31"/>
      <c r="K786" s="30"/>
    </row>
    <row r="787">
      <c r="A787" s="37"/>
      <c r="B787" s="7"/>
      <c r="C787" s="25"/>
      <c r="D787" s="9"/>
      <c r="H787" s="30"/>
      <c r="I787" s="30"/>
      <c r="J787" s="31"/>
      <c r="K787" s="30"/>
    </row>
    <row r="788">
      <c r="A788" s="37"/>
      <c r="B788" s="7"/>
      <c r="C788" s="25"/>
      <c r="D788" s="9"/>
      <c r="H788" s="30"/>
      <c r="I788" s="30"/>
      <c r="J788" s="31"/>
      <c r="K788" s="30"/>
    </row>
    <row r="789">
      <c r="A789" s="37"/>
      <c r="B789" s="7"/>
      <c r="C789" s="25"/>
      <c r="D789" s="9"/>
      <c r="H789" s="30"/>
      <c r="I789" s="30"/>
      <c r="J789" s="31"/>
      <c r="K789" s="30"/>
    </row>
    <row r="790">
      <c r="A790" s="37"/>
      <c r="B790" s="7"/>
      <c r="C790" s="25"/>
      <c r="D790" s="9"/>
      <c r="H790" s="30"/>
      <c r="I790" s="30"/>
      <c r="J790" s="31"/>
      <c r="K790" s="30"/>
    </row>
    <row r="791">
      <c r="A791" s="37"/>
      <c r="B791" s="7"/>
      <c r="C791" s="25"/>
      <c r="D791" s="9"/>
      <c r="H791" s="30"/>
      <c r="I791" s="30"/>
      <c r="J791" s="31"/>
      <c r="K791" s="30"/>
    </row>
    <row r="792">
      <c r="A792" s="37"/>
      <c r="B792" s="7"/>
      <c r="C792" s="25"/>
      <c r="D792" s="9"/>
      <c r="H792" s="30"/>
      <c r="I792" s="30"/>
      <c r="J792" s="31"/>
      <c r="K792" s="30"/>
    </row>
    <row r="793">
      <c r="A793" s="37"/>
      <c r="B793" s="7"/>
      <c r="C793" s="25"/>
      <c r="D793" s="9"/>
      <c r="H793" s="30"/>
      <c r="I793" s="30"/>
      <c r="J793" s="31"/>
      <c r="K793" s="30"/>
    </row>
    <row r="794">
      <c r="A794" s="37"/>
      <c r="B794" s="7"/>
      <c r="C794" s="25"/>
      <c r="D794" s="9"/>
      <c r="H794" s="30"/>
      <c r="I794" s="30"/>
      <c r="J794" s="31"/>
      <c r="K794" s="30"/>
    </row>
    <row r="795">
      <c r="A795" s="37"/>
      <c r="B795" s="7"/>
      <c r="C795" s="25"/>
      <c r="D795" s="9"/>
      <c r="H795" s="30"/>
      <c r="I795" s="30"/>
      <c r="J795" s="31"/>
      <c r="K795" s="30"/>
    </row>
    <row r="796">
      <c r="A796" s="37"/>
      <c r="B796" s="7"/>
      <c r="C796" s="25"/>
      <c r="D796" s="9"/>
      <c r="H796" s="30"/>
      <c r="I796" s="30"/>
      <c r="J796" s="31"/>
      <c r="K796" s="30"/>
    </row>
    <row r="797">
      <c r="A797" s="37"/>
      <c r="B797" s="7"/>
      <c r="C797" s="25"/>
      <c r="D797" s="9"/>
      <c r="H797" s="30"/>
      <c r="I797" s="30"/>
      <c r="J797" s="31"/>
      <c r="K797" s="30"/>
    </row>
    <row r="798">
      <c r="A798" s="37"/>
      <c r="B798" s="7"/>
      <c r="C798" s="25"/>
      <c r="D798" s="9"/>
      <c r="H798" s="30"/>
      <c r="I798" s="30"/>
      <c r="J798" s="31"/>
      <c r="K798" s="30"/>
    </row>
    <row r="799">
      <c r="A799" s="37"/>
      <c r="B799" s="7"/>
      <c r="C799" s="25"/>
      <c r="D799" s="9"/>
      <c r="H799" s="30"/>
      <c r="I799" s="30"/>
      <c r="J799" s="31"/>
      <c r="K799" s="30"/>
    </row>
    <row r="800">
      <c r="A800" s="37"/>
      <c r="B800" s="7"/>
      <c r="C800" s="25"/>
      <c r="D800" s="9"/>
      <c r="H800" s="30"/>
      <c r="I800" s="30"/>
      <c r="J800" s="31"/>
      <c r="K800" s="30"/>
    </row>
    <row r="801">
      <c r="A801" s="37"/>
      <c r="B801" s="7"/>
      <c r="C801" s="25"/>
      <c r="D801" s="9"/>
      <c r="H801" s="30"/>
      <c r="I801" s="30"/>
      <c r="J801" s="31"/>
      <c r="K801" s="30"/>
    </row>
    <row r="802">
      <c r="A802" s="37"/>
      <c r="B802" s="7"/>
      <c r="C802" s="25"/>
      <c r="D802" s="9"/>
      <c r="H802" s="30"/>
      <c r="I802" s="30"/>
      <c r="J802" s="31"/>
      <c r="K802" s="30"/>
    </row>
    <row r="803">
      <c r="A803" s="37"/>
      <c r="B803" s="7"/>
      <c r="C803" s="25"/>
      <c r="D803" s="9"/>
      <c r="H803" s="30"/>
      <c r="I803" s="30"/>
      <c r="J803" s="31"/>
      <c r="K803" s="30"/>
    </row>
    <row r="804">
      <c r="A804" s="37"/>
      <c r="B804" s="7"/>
      <c r="C804" s="25"/>
      <c r="D804" s="9"/>
      <c r="H804" s="30"/>
      <c r="I804" s="30"/>
      <c r="J804" s="31"/>
      <c r="K804" s="30"/>
    </row>
    <row r="805">
      <c r="A805" s="37"/>
      <c r="B805" s="7"/>
      <c r="C805" s="25"/>
      <c r="D805" s="9"/>
      <c r="H805" s="30"/>
      <c r="I805" s="30"/>
      <c r="J805" s="31"/>
      <c r="K805" s="30"/>
    </row>
    <row r="806">
      <c r="A806" s="37"/>
      <c r="B806" s="7"/>
      <c r="C806" s="25"/>
      <c r="D806" s="9"/>
      <c r="H806" s="30"/>
      <c r="I806" s="30"/>
      <c r="J806" s="31"/>
      <c r="K806" s="30"/>
    </row>
    <row r="807">
      <c r="A807" s="37"/>
      <c r="B807" s="7"/>
      <c r="C807" s="25"/>
      <c r="D807" s="9"/>
      <c r="H807" s="30"/>
      <c r="I807" s="30"/>
      <c r="J807" s="31"/>
      <c r="K807" s="30"/>
    </row>
    <row r="808">
      <c r="A808" s="37"/>
      <c r="B808" s="7"/>
      <c r="C808" s="25"/>
      <c r="D808" s="9"/>
      <c r="H808" s="30"/>
      <c r="I808" s="30"/>
      <c r="J808" s="31"/>
      <c r="K808" s="30"/>
    </row>
    <row r="809">
      <c r="A809" s="37"/>
      <c r="B809" s="7"/>
      <c r="C809" s="25"/>
      <c r="D809" s="9"/>
      <c r="H809" s="30"/>
      <c r="I809" s="30"/>
      <c r="J809" s="31"/>
      <c r="K809" s="30"/>
    </row>
    <row r="810">
      <c r="A810" s="37"/>
      <c r="B810" s="7"/>
      <c r="C810" s="25"/>
      <c r="D810" s="9"/>
      <c r="H810" s="30"/>
      <c r="I810" s="30"/>
      <c r="J810" s="31"/>
      <c r="K810" s="30"/>
    </row>
    <row r="811">
      <c r="A811" s="37"/>
      <c r="B811" s="7"/>
      <c r="C811" s="25"/>
      <c r="D811" s="9"/>
      <c r="H811" s="30"/>
      <c r="I811" s="30"/>
      <c r="J811" s="31"/>
      <c r="K811" s="30"/>
    </row>
    <row r="812">
      <c r="A812" s="37"/>
      <c r="B812" s="7"/>
      <c r="C812" s="25"/>
      <c r="D812" s="9"/>
      <c r="H812" s="30"/>
      <c r="I812" s="30"/>
      <c r="J812" s="31"/>
      <c r="K812" s="30"/>
    </row>
    <row r="813">
      <c r="A813" s="37"/>
      <c r="B813" s="7"/>
      <c r="C813" s="25"/>
      <c r="D813" s="9"/>
      <c r="H813" s="30"/>
      <c r="I813" s="30"/>
      <c r="J813" s="31"/>
      <c r="K813" s="30"/>
    </row>
    <row r="814">
      <c r="A814" s="37"/>
      <c r="B814" s="7"/>
      <c r="C814" s="25"/>
      <c r="D814" s="9"/>
      <c r="H814" s="30"/>
      <c r="I814" s="30"/>
      <c r="J814" s="31"/>
      <c r="K814" s="30"/>
    </row>
    <row r="815">
      <c r="A815" s="37"/>
      <c r="B815" s="7"/>
      <c r="C815" s="25"/>
      <c r="D815" s="9"/>
      <c r="H815" s="30"/>
      <c r="I815" s="30"/>
      <c r="J815" s="31"/>
      <c r="K815" s="30"/>
    </row>
    <row r="816">
      <c r="A816" s="37"/>
      <c r="B816" s="7"/>
      <c r="C816" s="25"/>
      <c r="D816" s="9"/>
      <c r="H816" s="30"/>
      <c r="I816" s="30"/>
      <c r="J816" s="31"/>
      <c r="K816" s="30"/>
    </row>
    <row r="817">
      <c r="A817" s="37"/>
      <c r="B817" s="7"/>
      <c r="C817" s="25"/>
      <c r="D817" s="9"/>
      <c r="H817" s="30"/>
      <c r="I817" s="30"/>
      <c r="J817" s="31"/>
      <c r="K817" s="30"/>
    </row>
    <row r="818">
      <c r="A818" s="37"/>
      <c r="B818" s="7"/>
      <c r="C818" s="25"/>
      <c r="D818" s="9"/>
      <c r="H818" s="30"/>
      <c r="I818" s="30"/>
      <c r="J818" s="31"/>
      <c r="K818" s="30"/>
    </row>
    <row r="819">
      <c r="A819" s="37"/>
      <c r="B819" s="7"/>
      <c r="C819" s="25"/>
      <c r="D819" s="9"/>
      <c r="H819" s="30"/>
      <c r="I819" s="30"/>
      <c r="J819" s="31"/>
      <c r="K819" s="30"/>
    </row>
    <row r="820">
      <c r="A820" s="37"/>
      <c r="B820" s="7"/>
      <c r="C820" s="25"/>
      <c r="D820" s="9"/>
      <c r="H820" s="30"/>
      <c r="I820" s="30"/>
      <c r="J820" s="31"/>
      <c r="K820" s="30"/>
    </row>
    <row r="821">
      <c r="A821" s="37"/>
      <c r="B821" s="7"/>
      <c r="C821" s="25"/>
      <c r="D821" s="9"/>
      <c r="H821" s="30"/>
      <c r="I821" s="30"/>
      <c r="J821" s="31"/>
      <c r="K821" s="30"/>
    </row>
    <row r="822">
      <c r="A822" s="37"/>
      <c r="B822" s="7"/>
      <c r="C822" s="25"/>
      <c r="D822" s="9"/>
      <c r="H822" s="30"/>
      <c r="I822" s="30"/>
      <c r="J822" s="31"/>
      <c r="K822" s="30"/>
    </row>
    <row r="823">
      <c r="A823" s="37"/>
      <c r="B823" s="7"/>
      <c r="C823" s="25"/>
      <c r="D823" s="9"/>
      <c r="H823" s="30"/>
      <c r="I823" s="30"/>
      <c r="J823" s="31"/>
      <c r="K823" s="30"/>
    </row>
    <row r="824">
      <c r="A824" s="37"/>
      <c r="B824" s="7"/>
      <c r="C824" s="25"/>
      <c r="D824" s="9"/>
      <c r="H824" s="30"/>
      <c r="I824" s="30"/>
      <c r="J824" s="31"/>
      <c r="K824" s="30"/>
    </row>
    <row r="825">
      <c r="A825" s="37"/>
      <c r="B825" s="7"/>
      <c r="C825" s="25"/>
      <c r="D825" s="9"/>
      <c r="H825" s="30"/>
      <c r="I825" s="30"/>
      <c r="J825" s="31"/>
      <c r="K825" s="30"/>
    </row>
    <row r="826">
      <c r="A826" s="37"/>
      <c r="B826" s="7"/>
      <c r="C826" s="25"/>
      <c r="D826" s="9"/>
      <c r="H826" s="30"/>
      <c r="I826" s="30"/>
      <c r="J826" s="31"/>
      <c r="K826" s="30"/>
    </row>
    <row r="827">
      <c r="A827" s="37"/>
      <c r="B827" s="7"/>
      <c r="C827" s="25"/>
      <c r="D827" s="9"/>
      <c r="H827" s="30"/>
      <c r="I827" s="30"/>
      <c r="J827" s="31"/>
      <c r="K827" s="30"/>
    </row>
    <row r="828">
      <c r="A828" s="37"/>
      <c r="B828" s="7"/>
      <c r="C828" s="25"/>
      <c r="D828" s="9"/>
      <c r="H828" s="30"/>
      <c r="I828" s="30"/>
      <c r="J828" s="31"/>
      <c r="K828" s="30"/>
    </row>
    <row r="829">
      <c r="A829" s="37"/>
      <c r="B829" s="7"/>
      <c r="C829" s="25"/>
      <c r="D829" s="9"/>
      <c r="H829" s="30"/>
      <c r="I829" s="30"/>
      <c r="J829" s="31"/>
      <c r="K829" s="30"/>
    </row>
    <row r="830">
      <c r="A830" s="37"/>
      <c r="B830" s="7"/>
      <c r="C830" s="25"/>
      <c r="D830" s="9"/>
      <c r="H830" s="30"/>
      <c r="I830" s="30"/>
      <c r="J830" s="31"/>
      <c r="K830" s="30"/>
    </row>
    <row r="831">
      <c r="A831" s="37"/>
      <c r="B831" s="7"/>
      <c r="C831" s="25"/>
      <c r="D831" s="9"/>
      <c r="H831" s="30"/>
      <c r="I831" s="30"/>
      <c r="J831" s="31"/>
      <c r="K831" s="30"/>
    </row>
    <row r="832">
      <c r="A832" s="37"/>
      <c r="B832" s="7"/>
      <c r="C832" s="25"/>
      <c r="D832" s="9"/>
      <c r="H832" s="30"/>
      <c r="I832" s="30"/>
      <c r="J832" s="31"/>
      <c r="K832" s="30"/>
    </row>
    <row r="833">
      <c r="A833" s="37"/>
      <c r="B833" s="7"/>
      <c r="C833" s="25"/>
      <c r="D833" s="9"/>
      <c r="H833" s="30"/>
      <c r="I833" s="30"/>
      <c r="J833" s="31"/>
      <c r="K833" s="30"/>
    </row>
    <row r="834">
      <c r="A834" s="37"/>
      <c r="B834" s="7"/>
      <c r="C834" s="25"/>
      <c r="D834" s="9"/>
      <c r="H834" s="30"/>
      <c r="I834" s="30"/>
      <c r="J834" s="31"/>
      <c r="K834" s="30"/>
    </row>
    <row r="835">
      <c r="A835" s="37"/>
      <c r="B835" s="7"/>
      <c r="C835" s="25"/>
      <c r="D835" s="9"/>
      <c r="H835" s="30"/>
      <c r="I835" s="30"/>
      <c r="J835" s="31"/>
      <c r="K835" s="30"/>
    </row>
    <row r="836">
      <c r="A836" s="37"/>
      <c r="B836" s="7"/>
      <c r="C836" s="25"/>
      <c r="D836" s="9"/>
      <c r="H836" s="30"/>
      <c r="I836" s="30"/>
      <c r="J836" s="31"/>
      <c r="K836" s="30"/>
    </row>
    <row r="837">
      <c r="A837" s="37"/>
      <c r="B837" s="7"/>
      <c r="C837" s="25"/>
      <c r="D837" s="9"/>
      <c r="H837" s="30"/>
      <c r="I837" s="30"/>
      <c r="J837" s="31"/>
      <c r="K837" s="30"/>
    </row>
    <row r="838">
      <c r="A838" s="37"/>
      <c r="B838" s="7"/>
      <c r="C838" s="25"/>
      <c r="D838" s="9"/>
      <c r="H838" s="30"/>
      <c r="I838" s="30"/>
      <c r="J838" s="31"/>
      <c r="K838" s="30"/>
    </row>
    <row r="839">
      <c r="A839" s="37"/>
      <c r="B839" s="7"/>
      <c r="C839" s="25"/>
      <c r="D839" s="9"/>
      <c r="H839" s="30"/>
      <c r="I839" s="30"/>
      <c r="J839" s="31"/>
      <c r="K839" s="30"/>
    </row>
    <row r="840">
      <c r="A840" s="37"/>
      <c r="B840" s="7"/>
      <c r="C840" s="25"/>
      <c r="D840" s="9"/>
      <c r="H840" s="30"/>
      <c r="I840" s="30"/>
      <c r="J840" s="31"/>
      <c r="K840" s="30"/>
    </row>
    <row r="841">
      <c r="A841" s="37"/>
      <c r="B841" s="7"/>
      <c r="C841" s="25"/>
      <c r="D841" s="9"/>
      <c r="H841" s="30"/>
      <c r="I841" s="30"/>
      <c r="J841" s="31"/>
      <c r="K841" s="30"/>
    </row>
    <row r="842">
      <c r="A842" s="37"/>
      <c r="B842" s="7"/>
      <c r="C842" s="25"/>
      <c r="D842" s="9"/>
      <c r="H842" s="30"/>
      <c r="I842" s="30"/>
      <c r="J842" s="31"/>
      <c r="K842" s="30"/>
    </row>
    <row r="843">
      <c r="A843" s="37"/>
      <c r="B843" s="7"/>
      <c r="C843" s="25"/>
      <c r="D843" s="9"/>
      <c r="H843" s="30"/>
      <c r="I843" s="30"/>
      <c r="J843" s="31"/>
      <c r="K843" s="30"/>
    </row>
    <row r="844">
      <c r="A844" s="37"/>
      <c r="B844" s="7"/>
      <c r="C844" s="25"/>
      <c r="D844" s="9"/>
      <c r="H844" s="30"/>
      <c r="I844" s="30"/>
      <c r="J844" s="31"/>
      <c r="K844" s="30"/>
    </row>
    <row r="845">
      <c r="A845" s="37"/>
      <c r="B845" s="7"/>
      <c r="C845" s="25"/>
      <c r="D845" s="9"/>
      <c r="H845" s="30"/>
      <c r="I845" s="30"/>
      <c r="J845" s="31"/>
      <c r="K845" s="30"/>
    </row>
    <row r="846">
      <c r="A846" s="37"/>
      <c r="B846" s="7"/>
      <c r="C846" s="25"/>
      <c r="D846" s="9"/>
      <c r="H846" s="30"/>
      <c r="I846" s="30"/>
      <c r="J846" s="31"/>
      <c r="K846" s="30"/>
    </row>
    <row r="847">
      <c r="A847" s="37"/>
      <c r="B847" s="7"/>
      <c r="C847" s="25"/>
      <c r="D847" s="9"/>
      <c r="H847" s="30"/>
      <c r="I847" s="30"/>
      <c r="J847" s="31"/>
      <c r="K847" s="30"/>
    </row>
    <row r="848">
      <c r="A848" s="37"/>
      <c r="B848" s="7"/>
      <c r="C848" s="25"/>
      <c r="D848" s="9"/>
      <c r="H848" s="30"/>
      <c r="I848" s="30"/>
      <c r="J848" s="31"/>
      <c r="K848" s="30"/>
    </row>
    <row r="849">
      <c r="A849" s="37"/>
      <c r="B849" s="7"/>
      <c r="C849" s="25"/>
      <c r="D849" s="9"/>
      <c r="H849" s="30"/>
      <c r="I849" s="30"/>
      <c r="J849" s="31"/>
      <c r="K849" s="30"/>
    </row>
    <row r="850">
      <c r="A850" s="37"/>
      <c r="B850" s="7"/>
      <c r="C850" s="25"/>
      <c r="D850" s="9"/>
      <c r="H850" s="30"/>
      <c r="I850" s="30"/>
      <c r="J850" s="31"/>
      <c r="K850" s="30"/>
    </row>
    <row r="851">
      <c r="A851" s="37"/>
      <c r="B851" s="7"/>
      <c r="C851" s="25"/>
      <c r="D851" s="9"/>
      <c r="H851" s="30"/>
      <c r="I851" s="30"/>
      <c r="J851" s="31"/>
      <c r="K851" s="30"/>
    </row>
    <row r="852">
      <c r="A852" s="37"/>
      <c r="B852" s="7"/>
      <c r="C852" s="25"/>
      <c r="D852" s="9"/>
      <c r="H852" s="30"/>
      <c r="I852" s="30"/>
      <c r="J852" s="31"/>
      <c r="K852" s="30"/>
    </row>
    <row r="853">
      <c r="A853" s="37"/>
      <c r="B853" s="7"/>
      <c r="C853" s="25"/>
      <c r="D853" s="9"/>
      <c r="H853" s="30"/>
      <c r="I853" s="30"/>
      <c r="J853" s="31"/>
      <c r="K853" s="30"/>
    </row>
    <row r="854">
      <c r="A854" s="37"/>
      <c r="B854" s="7"/>
      <c r="C854" s="25"/>
      <c r="D854" s="9"/>
      <c r="H854" s="30"/>
      <c r="I854" s="30"/>
      <c r="J854" s="31"/>
      <c r="K854" s="30"/>
    </row>
    <row r="855">
      <c r="A855" s="37"/>
      <c r="B855" s="7"/>
      <c r="C855" s="25"/>
      <c r="D855" s="9"/>
      <c r="H855" s="30"/>
      <c r="I855" s="30"/>
      <c r="J855" s="31"/>
      <c r="K855" s="30"/>
    </row>
    <row r="856">
      <c r="A856" s="37"/>
      <c r="B856" s="7"/>
      <c r="C856" s="25"/>
      <c r="D856" s="9"/>
      <c r="H856" s="30"/>
      <c r="I856" s="30"/>
      <c r="J856" s="31"/>
      <c r="K856" s="30"/>
    </row>
    <row r="857">
      <c r="A857" s="37"/>
      <c r="B857" s="7"/>
      <c r="C857" s="25"/>
      <c r="D857" s="9"/>
      <c r="H857" s="30"/>
      <c r="I857" s="30"/>
      <c r="J857" s="31"/>
      <c r="K857" s="30"/>
    </row>
    <row r="858">
      <c r="A858" s="37"/>
      <c r="B858" s="7"/>
      <c r="C858" s="25"/>
      <c r="D858" s="9"/>
      <c r="H858" s="30"/>
      <c r="I858" s="30"/>
      <c r="J858" s="31"/>
      <c r="K858" s="30"/>
    </row>
    <row r="859">
      <c r="A859" s="37"/>
      <c r="B859" s="7"/>
      <c r="C859" s="25"/>
      <c r="D859" s="9"/>
      <c r="H859" s="30"/>
      <c r="I859" s="30"/>
      <c r="J859" s="31"/>
      <c r="K859" s="30"/>
    </row>
    <row r="860">
      <c r="A860" s="37"/>
      <c r="B860" s="7"/>
      <c r="C860" s="25"/>
      <c r="D860" s="9"/>
      <c r="H860" s="30"/>
      <c r="I860" s="30"/>
      <c r="J860" s="31"/>
      <c r="K860" s="30"/>
    </row>
    <row r="861">
      <c r="A861" s="37"/>
      <c r="B861" s="7"/>
      <c r="C861" s="25"/>
      <c r="D861" s="9"/>
      <c r="H861" s="30"/>
      <c r="I861" s="30"/>
      <c r="J861" s="31"/>
      <c r="K861" s="30"/>
    </row>
    <row r="862">
      <c r="A862" s="37"/>
      <c r="B862" s="7"/>
      <c r="C862" s="25"/>
      <c r="D862" s="9"/>
      <c r="H862" s="30"/>
      <c r="I862" s="30"/>
      <c r="J862" s="31"/>
      <c r="K862" s="30"/>
    </row>
    <row r="863">
      <c r="A863" s="37"/>
      <c r="B863" s="7"/>
      <c r="C863" s="25"/>
      <c r="D863" s="9"/>
      <c r="H863" s="30"/>
      <c r="I863" s="30"/>
      <c r="J863" s="31"/>
      <c r="K863" s="30"/>
    </row>
    <row r="864">
      <c r="A864" s="37"/>
      <c r="B864" s="7"/>
      <c r="C864" s="25"/>
      <c r="D864" s="9"/>
      <c r="H864" s="30"/>
      <c r="I864" s="30"/>
      <c r="J864" s="31"/>
      <c r="K864" s="30"/>
    </row>
    <row r="865">
      <c r="A865" s="37"/>
      <c r="B865" s="7"/>
      <c r="C865" s="25"/>
      <c r="D865" s="9"/>
      <c r="H865" s="30"/>
      <c r="I865" s="30"/>
      <c r="J865" s="31"/>
      <c r="K865" s="30"/>
    </row>
    <row r="866">
      <c r="A866" s="37"/>
      <c r="B866" s="7"/>
      <c r="C866" s="25"/>
      <c r="D866" s="9"/>
      <c r="H866" s="30"/>
      <c r="I866" s="30"/>
      <c r="J866" s="31"/>
      <c r="K866" s="30"/>
    </row>
    <row r="867">
      <c r="A867" s="37"/>
      <c r="B867" s="7"/>
      <c r="C867" s="25"/>
      <c r="D867" s="9"/>
      <c r="H867" s="30"/>
      <c r="I867" s="30"/>
      <c r="J867" s="31"/>
      <c r="K867" s="30"/>
    </row>
    <row r="868">
      <c r="A868" s="37"/>
      <c r="B868" s="7"/>
      <c r="C868" s="25"/>
      <c r="D868" s="9"/>
      <c r="H868" s="30"/>
      <c r="I868" s="30"/>
      <c r="J868" s="31"/>
      <c r="K868" s="30"/>
    </row>
    <row r="869">
      <c r="A869" s="37"/>
      <c r="B869" s="7"/>
      <c r="C869" s="25"/>
      <c r="D869" s="9"/>
      <c r="H869" s="30"/>
      <c r="I869" s="30"/>
      <c r="J869" s="31"/>
      <c r="K869" s="30"/>
    </row>
    <row r="870">
      <c r="A870" s="37"/>
      <c r="B870" s="7"/>
      <c r="C870" s="25"/>
      <c r="D870" s="9"/>
      <c r="H870" s="30"/>
      <c r="I870" s="30"/>
      <c r="J870" s="31"/>
      <c r="K870" s="30"/>
    </row>
    <row r="871">
      <c r="A871" s="37"/>
      <c r="B871" s="7"/>
      <c r="C871" s="25"/>
      <c r="D871" s="9"/>
      <c r="H871" s="30"/>
      <c r="I871" s="30"/>
      <c r="J871" s="31"/>
      <c r="K871" s="30"/>
    </row>
    <row r="872">
      <c r="A872" s="37"/>
      <c r="B872" s="7"/>
      <c r="C872" s="25"/>
      <c r="D872" s="9"/>
      <c r="H872" s="30"/>
      <c r="I872" s="30"/>
      <c r="J872" s="31"/>
      <c r="K872" s="30"/>
    </row>
    <row r="873">
      <c r="A873" s="37"/>
      <c r="B873" s="7"/>
      <c r="C873" s="25"/>
      <c r="D873" s="9"/>
      <c r="H873" s="30"/>
      <c r="I873" s="30"/>
      <c r="J873" s="31"/>
      <c r="K873" s="30"/>
    </row>
    <row r="874">
      <c r="A874" s="37"/>
      <c r="B874" s="7"/>
      <c r="C874" s="25"/>
      <c r="D874" s="9"/>
      <c r="H874" s="30"/>
      <c r="I874" s="30"/>
      <c r="J874" s="31"/>
      <c r="K874" s="30"/>
    </row>
    <row r="875">
      <c r="A875" s="37"/>
      <c r="B875" s="7"/>
      <c r="C875" s="25"/>
      <c r="D875" s="9"/>
      <c r="H875" s="30"/>
      <c r="I875" s="30"/>
      <c r="J875" s="31"/>
      <c r="K875" s="30"/>
    </row>
    <row r="876">
      <c r="A876" s="37"/>
      <c r="B876" s="7"/>
      <c r="C876" s="25"/>
      <c r="D876" s="9"/>
      <c r="H876" s="30"/>
      <c r="I876" s="30"/>
      <c r="J876" s="31"/>
      <c r="K876" s="30"/>
    </row>
    <row r="877">
      <c r="A877" s="37"/>
      <c r="B877" s="7"/>
      <c r="C877" s="25"/>
      <c r="D877" s="9"/>
      <c r="H877" s="30"/>
      <c r="I877" s="30"/>
      <c r="J877" s="31"/>
      <c r="K877" s="30"/>
    </row>
    <row r="878">
      <c r="A878" s="37"/>
      <c r="B878" s="7"/>
      <c r="C878" s="25"/>
      <c r="D878" s="9"/>
      <c r="H878" s="30"/>
      <c r="I878" s="30"/>
      <c r="J878" s="31"/>
      <c r="K878" s="30"/>
    </row>
    <row r="879">
      <c r="A879" s="37"/>
      <c r="B879" s="7"/>
      <c r="C879" s="25"/>
      <c r="D879" s="9"/>
      <c r="H879" s="30"/>
      <c r="I879" s="30"/>
      <c r="J879" s="31"/>
      <c r="K879" s="30"/>
    </row>
    <row r="880">
      <c r="A880" s="37"/>
      <c r="B880" s="7"/>
      <c r="C880" s="25"/>
      <c r="D880" s="9"/>
      <c r="H880" s="30"/>
      <c r="I880" s="30"/>
      <c r="J880" s="31"/>
      <c r="K880" s="30"/>
    </row>
    <row r="881">
      <c r="A881" s="37"/>
      <c r="B881" s="7"/>
      <c r="C881" s="25"/>
      <c r="D881" s="9"/>
      <c r="H881" s="30"/>
      <c r="I881" s="30"/>
      <c r="J881" s="31"/>
      <c r="K881" s="30"/>
    </row>
    <row r="882">
      <c r="A882" s="37"/>
      <c r="B882" s="7"/>
      <c r="C882" s="25"/>
      <c r="D882" s="9"/>
      <c r="H882" s="30"/>
      <c r="I882" s="30"/>
      <c r="J882" s="31"/>
      <c r="K882" s="30"/>
    </row>
    <row r="883">
      <c r="A883" s="37"/>
      <c r="B883" s="7"/>
      <c r="C883" s="25"/>
      <c r="D883" s="9"/>
      <c r="H883" s="30"/>
      <c r="I883" s="30"/>
      <c r="J883" s="31"/>
      <c r="K883" s="30"/>
    </row>
    <row r="884">
      <c r="A884" s="37"/>
      <c r="B884" s="7"/>
      <c r="C884" s="25"/>
      <c r="D884" s="9"/>
      <c r="H884" s="30"/>
      <c r="I884" s="30"/>
      <c r="J884" s="31"/>
      <c r="K884" s="30"/>
    </row>
    <row r="885">
      <c r="A885" s="37"/>
      <c r="B885" s="7"/>
      <c r="C885" s="25"/>
      <c r="D885" s="9"/>
      <c r="H885" s="30"/>
      <c r="I885" s="30"/>
      <c r="J885" s="31"/>
      <c r="K885" s="30"/>
    </row>
    <row r="886">
      <c r="A886" s="37"/>
      <c r="B886" s="7"/>
      <c r="C886" s="25"/>
      <c r="D886" s="9"/>
      <c r="H886" s="30"/>
      <c r="I886" s="30"/>
      <c r="J886" s="31"/>
      <c r="K886" s="30"/>
    </row>
    <row r="887">
      <c r="A887" s="37"/>
      <c r="B887" s="7"/>
      <c r="C887" s="25"/>
      <c r="D887" s="9"/>
      <c r="H887" s="30"/>
      <c r="I887" s="30"/>
      <c r="J887" s="31"/>
      <c r="K887" s="30"/>
    </row>
    <row r="888">
      <c r="A888" s="37"/>
      <c r="B888" s="7"/>
      <c r="C888" s="25"/>
      <c r="D888" s="9"/>
      <c r="H888" s="30"/>
      <c r="I888" s="30"/>
      <c r="J888" s="31"/>
      <c r="K888" s="30"/>
    </row>
    <row r="889">
      <c r="A889" s="37"/>
      <c r="B889" s="7"/>
      <c r="C889" s="25"/>
      <c r="D889" s="9"/>
      <c r="H889" s="30"/>
      <c r="I889" s="30"/>
      <c r="J889" s="31"/>
      <c r="K889" s="30"/>
    </row>
    <row r="890">
      <c r="A890" s="37"/>
      <c r="B890" s="7"/>
      <c r="C890" s="25"/>
      <c r="D890" s="9"/>
      <c r="H890" s="30"/>
      <c r="I890" s="30"/>
      <c r="J890" s="31"/>
      <c r="K890" s="30"/>
    </row>
    <row r="891">
      <c r="A891" s="37"/>
      <c r="B891" s="7"/>
      <c r="C891" s="25"/>
      <c r="D891" s="9"/>
      <c r="H891" s="30"/>
      <c r="I891" s="30"/>
      <c r="J891" s="31"/>
      <c r="K891" s="30"/>
    </row>
    <row r="892">
      <c r="A892" s="37"/>
      <c r="B892" s="7"/>
      <c r="C892" s="25"/>
      <c r="D892" s="9"/>
      <c r="H892" s="30"/>
      <c r="I892" s="30"/>
      <c r="J892" s="31"/>
      <c r="K892" s="30"/>
    </row>
    <row r="893">
      <c r="A893" s="37"/>
      <c r="B893" s="7"/>
      <c r="C893" s="25"/>
      <c r="D893" s="9"/>
      <c r="H893" s="30"/>
      <c r="I893" s="30"/>
      <c r="J893" s="31"/>
      <c r="K893" s="30"/>
    </row>
    <row r="894">
      <c r="A894" s="37"/>
      <c r="B894" s="7"/>
      <c r="C894" s="25"/>
      <c r="D894" s="9"/>
      <c r="H894" s="30"/>
      <c r="I894" s="30"/>
      <c r="J894" s="31"/>
      <c r="K894" s="30"/>
    </row>
    <row r="895">
      <c r="A895" s="37"/>
      <c r="B895" s="7"/>
      <c r="C895" s="25"/>
      <c r="D895" s="9"/>
      <c r="H895" s="30"/>
      <c r="I895" s="30"/>
      <c r="J895" s="31"/>
      <c r="K895" s="30"/>
    </row>
    <row r="896">
      <c r="A896" s="37"/>
      <c r="B896" s="7"/>
      <c r="C896" s="25"/>
      <c r="D896" s="9"/>
      <c r="H896" s="30"/>
      <c r="I896" s="30"/>
      <c r="J896" s="31"/>
      <c r="K896" s="30"/>
    </row>
    <row r="897">
      <c r="A897" s="37"/>
      <c r="B897" s="7"/>
      <c r="C897" s="25"/>
      <c r="D897" s="9"/>
      <c r="H897" s="30"/>
      <c r="I897" s="30"/>
      <c r="J897" s="31"/>
      <c r="K897" s="30"/>
    </row>
    <row r="898">
      <c r="A898" s="37"/>
      <c r="B898" s="7"/>
      <c r="C898" s="25"/>
      <c r="D898" s="9"/>
      <c r="H898" s="30"/>
      <c r="I898" s="30"/>
      <c r="J898" s="31"/>
      <c r="K898" s="30"/>
    </row>
    <row r="899">
      <c r="A899" s="37"/>
      <c r="B899" s="7"/>
      <c r="C899" s="25"/>
      <c r="D899" s="9"/>
      <c r="H899" s="30"/>
      <c r="I899" s="30"/>
      <c r="J899" s="31"/>
      <c r="K899" s="30"/>
    </row>
    <row r="900">
      <c r="A900" s="37"/>
      <c r="B900" s="7"/>
      <c r="C900" s="25"/>
      <c r="D900" s="9"/>
      <c r="H900" s="30"/>
      <c r="I900" s="30"/>
      <c r="J900" s="31"/>
      <c r="K900" s="30"/>
    </row>
    <row r="901">
      <c r="A901" s="37"/>
      <c r="B901" s="7"/>
      <c r="C901" s="25"/>
      <c r="D901" s="9"/>
      <c r="H901" s="30"/>
      <c r="I901" s="30"/>
      <c r="J901" s="31"/>
      <c r="K901" s="30"/>
    </row>
    <row r="902">
      <c r="A902" s="37"/>
      <c r="B902" s="7"/>
      <c r="C902" s="25"/>
      <c r="D902" s="9"/>
      <c r="H902" s="30"/>
      <c r="I902" s="30"/>
      <c r="J902" s="31"/>
      <c r="K902" s="30"/>
    </row>
    <row r="903">
      <c r="A903" s="37"/>
      <c r="B903" s="7"/>
      <c r="C903" s="25"/>
      <c r="D903" s="9"/>
      <c r="H903" s="30"/>
      <c r="I903" s="30"/>
      <c r="J903" s="31"/>
      <c r="K903" s="30"/>
    </row>
    <row r="904">
      <c r="A904" s="37"/>
      <c r="B904" s="7"/>
      <c r="C904" s="25"/>
      <c r="D904" s="9"/>
      <c r="H904" s="30"/>
      <c r="I904" s="30"/>
      <c r="J904" s="31"/>
      <c r="K904" s="30"/>
    </row>
    <row r="905">
      <c r="A905" s="37"/>
      <c r="B905" s="7"/>
      <c r="C905" s="25"/>
      <c r="D905" s="9"/>
      <c r="H905" s="30"/>
      <c r="I905" s="30"/>
      <c r="J905" s="31"/>
      <c r="K905" s="30"/>
    </row>
    <row r="906">
      <c r="A906" s="37"/>
      <c r="B906" s="7"/>
      <c r="C906" s="25"/>
      <c r="D906" s="9"/>
      <c r="H906" s="30"/>
      <c r="I906" s="30"/>
      <c r="J906" s="31"/>
      <c r="K906" s="30"/>
    </row>
    <row r="907">
      <c r="A907" s="37"/>
      <c r="B907" s="7"/>
      <c r="C907" s="25"/>
      <c r="D907" s="9"/>
      <c r="H907" s="30"/>
      <c r="I907" s="30"/>
      <c r="J907" s="31"/>
      <c r="K907" s="30"/>
    </row>
    <row r="908">
      <c r="A908" s="37"/>
      <c r="B908" s="7"/>
      <c r="C908" s="25"/>
      <c r="D908" s="9"/>
      <c r="H908" s="30"/>
      <c r="I908" s="30"/>
      <c r="J908" s="31"/>
      <c r="K908" s="30"/>
    </row>
    <row r="909">
      <c r="A909" s="37"/>
      <c r="B909" s="7"/>
      <c r="C909" s="25"/>
      <c r="D909" s="9"/>
      <c r="H909" s="30"/>
      <c r="I909" s="30"/>
      <c r="J909" s="31"/>
      <c r="K909" s="30"/>
    </row>
    <row r="910">
      <c r="A910" s="37"/>
      <c r="B910" s="7"/>
      <c r="C910" s="25"/>
      <c r="D910" s="9"/>
      <c r="H910" s="30"/>
      <c r="I910" s="30"/>
      <c r="J910" s="31"/>
      <c r="K910" s="30"/>
    </row>
    <row r="911">
      <c r="A911" s="37"/>
      <c r="B911" s="7"/>
      <c r="C911" s="25"/>
      <c r="D911" s="9"/>
      <c r="H911" s="30"/>
      <c r="I911" s="30"/>
      <c r="J911" s="31"/>
      <c r="K911" s="30"/>
    </row>
    <row r="912">
      <c r="A912" s="37"/>
      <c r="B912" s="7"/>
      <c r="C912" s="25"/>
      <c r="D912" s="9"/>
      <c r="H912" s="30"/>
      <c r="I912" s="30"/>
      <c r="J912" s="31"/>
      <c r="K912" s="30"/>
    </row>
    <row r="913">
      <c r="A913" s="37"/>
      <c r="B913" s="7"/>
      <c r="C913" s="25"/>
      <c r="D913" s="9"/>
      <c r="H913" s="30"/>
      <c r="I913" s="30"/>
      <c r="J913" s="31"/>
      <c r="K913" s="30"/>
    </row>
    <row r="914">
      <c r="A914" s="37"/>
      <c r="B914" s="7"/>
      <c r="C914" s="25"/>
      <c r="D914" s="9"/>
      <c r="H914" s="30"/>
      <c r="I914" s="30"/>
      <c r="J914" s="31"/>
      <c r="K914" s="30"/>
    </row>
    <row r="915">
      <c r="A915" s="37"/>
      <c r="B915" s="7"/>
      <c r="C915" s="25"/>
      <c r="D915" s="9"/>
      <c r="H915" s="30"/>
      <c r="I915" s="30"/>
      <c r="J915" s="31"/>
      <c r="K915" s="30"/>
    </row>
    <row r="916">
      <c r="A916" s="37"/>
      <c r="B916" s="7"/>
      <c r="C916" s="25"/>
      <c r="D916" s="9"/>
      <c r="H916" s="30"/>
      <c r="I916" s="30"/>
      <c r="J916" s="31"/>
      <c r="K916" s="30"/>
    </row>
    <row r="917">
      <c r="A917" s="37"/>
      <c r="B917" s="7"/>
      <c r="C917" s="25"/>
      <c r="D917" s="9"/>
      <c r="H917" s="30"/>
      <c r="I917" s="30"/>
      <c r="J917" s="31"/>
      <c r="K917" s="30"/>
    </row>
    <row r="918">
      <c r="A918" s="37"/>
      <c r="B918" s="7"/>
      <c r="C918" s="25"/>
      <c r="D918" s="9"/>
      <c r="H918" s="30"/>
      <c r="I918" s="30"/>
      <c r="J918" s="31"/>
      <c r="K918" s="30"/>
    </row>
    <row r="919">
      <c r="A919" s="37"/>
      <c r="B919" s="7"/>
      <c r="C919" s="25"/>
      <c r="D919" s="9"/>
      <c r="H919" s="30"/>
      <c r="I919" s="30"/>
      <c r="J919" s="31"/>
      <c r="K919" s="30"/>
    </row>
    <row r="920">
      <c r="A920" s="37"/>
      <c r="B920" s="7"/>
      <c r="C920" s="25"/>
      <c r="D920" s="9"/>
      <c r="H920" s="30"/>
      <c r="I920" s="30"/>
      <c r="J920" s="31"/>
      <c r="K920" s="30"/>
    </row>
    <row r="921">
      <c r="A921" s="37"/>
      <c r="B921" s="7"/>
      <c r="C921" s="25"/>
      <c r="D921" s="9"/>
      <c r="H921" s="30"/>
      <c r="I921" s="30"/>
      <c r="J921" s="31"/>
      <c r="K921" s="30"/>
    </row>
    <row r="922">
      <c r="A922" s="37"/>
      <c r="B922" s="7"/>
      <c r="C922" s="25"/>
      <c r="D922" s="9"/>
      <c r="H922" s="30"/>
      <c r="I922" s="30"/>
      <c r="J922" s="31"/>
      <c r="K922" s="30"/>
    </row>
    <row r="923">
      <c r="A923" s="37"/>
      <c r="B923" s="7"/>
      <c r="C923" s="25"/>
      <c r="D923" s="9"/>
      <c r="H923" s="30"/>
      <c r="I923" s="30"/>
      <c r="J923" s="31"/>
      <c r="K923" s="30"/>
    </row>
    <row r="924">
      <c r="A924" s="37"/>
      <c r="B924" s="7"/>
      <c r="C924" s="25"/>
      <c r="D924" s="9"/>
      <c r="H924" s="30"/>
      <c r="I924" s="30"/>
      <c r="J924" s="31"/>
      <c r="K924" s="30"/>
    </row>
    <row r="925">
      <c r="A925" s="37"/>
      <c r="B925" s="7"/>
      <c r="C925" s="25"/>
      <c r="D925" s="9"/>
      <c r="H925" s="30"/>
      <c r="I925" s="30"/>
      <c r="J925" s="31"/>
      <c r="K925" s="30"/>
    </row>
    <row r="926">
      <c r="A926" s="37"/>
      <c r="B926" s="7"/>
      <c r="C926" s="25"/>
      <c r="D926" s="9"/>
      <c r="H926" s="30"/>
      <c r="I926" s="30"/>
      <c r="J926" s="31"/>
      <c r="K926" s="30"/>
    </row>
    <row r="927">
      <c r="A927" s="37"/>
      <c r="B927" s="7"/>
      <c r="C927" s="25"/>
      <c r="D927" s="9"/>
      <c r="H927" s="30"/>
      <c r="I927" s="30"/>
      <c r="J927" s="31"/>
      <c r="K927" s="30"/>
    </row>
    <row r="928">
      <c r="A928" s="37"/>
      <c r="B928" s="7"/>
      <c r="C928" s="25"/>
      <c r="D928" s="9"/>
      <c r="H928" s="30"/>
      <c r="I928" s="30"/>
      <c r="J928" s="31"/>
      <c r="K928" s="30"/>
    </row>
    <row r="929">
      <c r="A929" s="37"/>
      <c r="B929" s="7"/>
      <c r="C929" s="25"/>
      <c r="D929" s="9"/>
      <c r="H929" s="30"/>
      <c r="I929" s="30"/>
      <c r="J929" s="31"/>
      <c r="K929" s="30"/>
    </row>
    <row r="930">
      <c r="A930" s="37"/>
      <c r="B930" s="7"/>
      <c r="C930" s="25"/>
      <c r="D930" s="9"/>
      <c r="H930" s="30"/>
      <c r="I930" s="30"/>
      <c r="J930" s="31"/>
      <c r="K930" s="30"/>
    </row>
    <row r="931">
      <c r="A931" s="37"/>
      <c r="B931" s="7"/>
      <c r="C931" s="25"/>
      <c r="D931" s="9"/>
      <c r="H931" s="30"/>
      <c r="I931" s="30"/>
      <c r="J931" s="31"/>
      <c r="K931" s="30"/>
    </row>
    <row r="932">
      <c r="A932" s="37"/>
      <c r="B932" s="7"/>
      <c r="C932" s="25"/>
      <c r="D932" s="9"/>
      <c r="H932" s="30"/>
      <c r="I932" s="30"/>
      <c r="J932" s="31"/>
      <c r="K932" s="30"/>
    </row>
    <row r="933">
      <c r="A933" s="37"/>
      <c r="B933" s="7"/>
      <c r="C933" s="25"/>
      <c r="D933" s="9"/>
      <c r="H933" s="30"/>
      <c r="I933" s="30"/>
      <c r="J933" s="31"/>
      <c r="K933" s="30"/>
    </row>
    <row r="934">
      <c r="A934" s="37"/>
      <c r="B934" s="7"/>
      <c r="C934" s="25"/>
      <c r="D934" s="9"/>
      <c r="H934" s="30"/>
      <c r="I934" s="30"/>
      <c r="J934" s="31"/>
      <c r="K934" s="30"/>
    </row>
    <row r="935">
      <c r="A935" s="37"/>
      <c r="B935" s="7"/>
      <c r="C935" s="25"/>
      <c r="D935" s="9"/>
      <c r="H935" s="30"/>
      <c r="I935" s="30"/>
      <c r="J935" s="31"/>
      <c r="K935" s="30"/>
    </row>
    <row r="936">
      <c r="A936" s="37"/>
      <c r="B936" s="7"/>
      <c r="C936" s="25"/>
      <c r="D936" s="9"/>
      <c r="H936" s="30"/>
      <c r="I936" s="30"/>
      <c r="J936" s="31"/>
      <c r="K936" s="30"/>
    </row>
    <row r="937">
      <c r="A937" s="37"/>
      <c r="B937" s="7"/>
      <c r="C937" s="25"/>
      <c r="D937" s="9"/>
      <c r="H937" s="30"/>
      <c r="I937" s="30"/>
      <c r="J937" s="31"/>
      <c r="K937" s="30"/>
    </row>
    <row r="938">
      <c r="A938" s="37"/>
      <c r="B938" s="7"/>
      <c r="C938" s="25"/>
      <c r="D938" s="9"/>
      <c r="H938" s="30"/>
      <c r="I938" s="30"/>
      <c r="J938" s="31"/>
      <c r="K938" s="30"/>
    </row>
    <row r="939">
      <c r="A939" s="37"/>
      <c r="B939" s="7"/>
      <c r="C939" s="25"/>
      <c r="D939" s="9"/>
      <c r="H939" s="30"/>
      <c r="I939" s="30"/>
      <c r="J939" s="31"/>
      <c r="K939" s="30"/>
    </row>
    <row r="940">
      <c r="A940" s="37"/>
      <c r="B940" s="7"/>
      <c r="C940" s="25"/>
      <c r="D940" s="9"/>
      <c r="H940" s="30"/>
      <c r="I940" s="30"/>
      <c r="J940" s="31"/>
      <c r="K940" s="30"/>
    </row>
    <row r="941">
      <c r="A941" s="37"/>
      <c r="B941" s="7"/>
      <c r="C941" s="25"/>
      <c r="D941" s="9"/>
      <c r="H941" s="30"/>
      <c r="I941" s="30"/>
      <c r="J941" s="31"/>
      <c r="K941" s="30"/>
    </row>
    <row r="942">
      <c r="A942" s="37"/>
      <c r="B942" s="7"/>
      <c r="C942" s="25"/>
      <c r="D942" s="9"/>
      <c r="H942" s="30"/>
      <c r="I942" s="30"/>
      <c r="J942" s="31"/>
      <c r="K942" s="30"/>
    </row>
    <row r="943">
      <c r="A943" s="37"/>
      <c r="B943" s="7"/>
      <c r="C943" s="25"/>
      <c r="D943" s="9"/>
      <c r="H943" s="30"/>
      <c r="I943" s="30"/>
      <c r="J943" s="31"/>
      <c r="K943" s="30"/>
    </row>
    <row r="944">
      <c r="A944" s="37"/>
      <c r="B944" s="7"/>
      <c r="C944" s="25"/>
      <c r="D944" s="9"/>
      <c r="H944" s="30"/>
      <c r="I944" s="30"/>
      <c r="J944" s="31"/>
      <c r="K944" s="30"/>
    </row>
    <row r="945">
      <c r="A945" s="37"/>
      <c r="B945" s="7"/>
      <c r="C945" s="25"/>
      <c r="D945" s="9"/>
      <c r="H945" s="30"/>
      <c r="I945" s="30"/>
      <c r="J945" s="31"/>
      <c r="K945" s="30"/>
    </row>
    <row r="946">
      <c r="A946" s="37"/>
      <c r="B946" s="7"/>
      <c r="C946" s="25"/>
      <c r="D946" s="9"/>
      <c r="H946" s="30"/>
      <c r="I946" s="30"/>
      <c r="J946" s="31"/>
      <c r="K946" s="30"/>
    </row>
    <row r="947">
      <c r="A947" s="37"/>
      <c r="B947" s="7"/>
      <c r="C947" s="25"/>
      <c r="D947" s="9"/>
      <c r="H947" s="30"/>
      <c r="I947" s="30"/>
      <c r="J947" s="31"/>
      <c r="K947" s="30"/>
    </row>
    <row r="948">
      <c r="A948" s="37"/>
      <c r="B948" s="7"/>
      <c r="C948" s="25"/>
      <c r="D948" s="9"/>
      <c r="H948" s="30"/>
      <c r="I948" s="30"/>
      <c r="J948" s="31"/>
      <c r="K948" s="30"/>
    </row>
    <row r="949">
      <c r="A949" s="37"/>
      <c r="B949" s="7"/>
      <c r="C949" s="25"/>
      <c r="D949" s="9"/>
      <c r="H949" s="30"/>
      <c r="I949" s="30"/>
      <c r="J949" s="31"/>
      <c r="K949" s="30"/>
    </row>
    <row r="950">
      <c r="A950" s="37"/>
      <c r="B950" s="7"/>
      <c r="C950" s="25"/>
      <c r="D950" s="9"/>
      <c r="H950" s="30"/>
      <c r="I950" s="30"/>
      <c r="J950" s="31"/>
      <c r="K950" s="30"/>
    </row>
    <row r="951">
      <c r="A951" s="37"/>
      <c r="B951" s="7"/>
      <c r="C951" s="25"/>
      <c r="D951" s="9"/>
      <c r="H951" s="30"/>
      <c r="I951" s="30"/>
      <c r="J951" s="31"/>
      <c r="K951" s="30"/>
    </row>
    <row r="952">
      <c r="A952" s="37"/>
      <c r="B952" s="7"/>
      <c r="C952" s="25"/>
      <c r="D952" s="9"/>
      <c r="H952" s="30"/>
      <c r="I952" s="30"/>
      <c r="J952" s="31"/>
      <c r="K952" s="30"/>
    </row>
    <row r="953">
      <c r="A953" s="37"/>
      <c r="B953" s="7"/>
      <c r="C953" s="25"/>
      <c r="D953" s="9"/>
      <c r="H953" s="30"/>
      <c r="I953" s="30"/>
      <c r="J953" s="31"/>
      <c r="K953" s="30"/>
    </row>
    <row r="954">
      <c r="A954" s="37"/>
      <c r="B954" s="7"/>
      <c r="C954" s="25"/>
      <c r="D954" s="9"/>
      <c r="H954" s="30"/>
      <c r="I954" s="30"/>
      <c r="J954" s="31"/>
      <c r="K954" s="30"/>
    </row>
    <row r="955">
      <c r="A955" s="37"/>
      <c r="B955" s="7"/>
      <c r="C955" s="25"/>
      <c r="D955" s="9"/>
      <c r="H955" s="30"/>
      <c r="I955" s="30"/>
      <c r="J955" s="31"/>
      <c r="K955" s="30"/>
    </row>
    <row r="956">
      <c r="A956" s="37"/>
      <c r="B956" s="7"/>
      <c r="C956" s="25"/>
      <c r="D956" s="9"/>
      <c r="H956" s="30"/>
      <c r="I956" s="30"/>
      <c r="J956" s="31"/>
      <c r="K956" s="30"/>
    </row>
    <row r="957">
      <c r="A957" s="37"/>
      <c r="B957" s="7"/>
      <c r="C957" s="25"/>
      <c r="D957" s="9"/>
      <c r="H957" s="30"/>
      <c r="I957" s="30"/>
      <c r="J957" s="31"/>
      <c r="K957" s="30"/>
    </row>
    <row r="958">
      <c r="A958" s="37"/>
      <c r="B958" s="7"/>
      <c r="C958" s="25"/>
      <c r="D958" s="9"/>
      <c r="H958" s="30"/>
      <c r="I958" s="30"/>
      <c r="J958" s="31"/>
      <c r="K958" s="30"/>
    </row>
    <row r="959">
      <c r="A959" s="37"/>
      <c r="B959" s="7"/>
      <c r="C959" s="25"/>
      <c r="D959" s="9"/>
      <c r="H959" s="30"/>
      <c r="I959" s="30"/>
      <c r="J959" s="31"/>
      <c r="K959" s="30"/>
    </row>
    <row r="960">
      <c r="A960" s="37"/>
      <c r="B960" s="7"/>
      <c r="C960" s="25"/>
      <c r="D960" s="9"/>
      <c r="H960" s="30"/>
      <c r="I960" s="30"/>
      <c r="J960" s="31"/>
      <c r="K960" s="30"/>
    </row>
    <row r="961">
      <c r="A961" s="37"/>
      <c r="B961" s="7"/>
      <c r="C961" s="25"/>
      <c r="D961" s="9"/>
      <c r="H961" s="30"/>
      <c r="I961" s="30"/>
      <c r="J961" s="31"/>
      <c r="K961" s="30"/>
    </row>
    <row r="962">
      <c r="A962" s="37"/>
      <c r="B962" s="7"/>
      <c r="C962" s="25"/>
      <c r="D962" s="9"/>
      <c r="H962" s="30"/>
      <c r="I962" s="30"/>
      <c r="J962" s="31"/>
      <c r="K962" s="30"/>
    </row>
    <row r="963">
      <c r="A963" s="37"/>
      <c r="B963" s="7"/>
      <c r="C963" s="25"/>
      <c r="D963" s="9"/>
      <c r="H963" s="30"/>
      <c r="I963" s="30"/>
      <c r="J963" s="31"/>
      <c r="K963" s="30"/>
    </row>
    <row r="964">
      <c r="A964" s="37"/>
      <c r="B964" s="7"/>
      <c r="C964" s="25"/>
      <c r="D964" s="9"/>
      <c r="H964" s="30"/>
      <c r="I964" s="30"/>
      <c r="J964" s="31"/>
      <c r="K964" s="30"/>
    </row>
    <row r="965">
      <c r="A965" s="37"/>
      <c r="B965" s="7"/>
      <c r="C965" s="25"/>
      <c r="D965" s="9"/>
      <c r="H965" s="30"/>
      <c r="I965" s="30"/>
      <c r="J965" s="31"/>
      <c r="K965" s="30"/>
    </row>
    <row r="966">
      <c r="A966" s="37"/>
      <c r="B966" s="7"/>
      <c r="C966" s="25"/>
      <c r="D966" s="9"/>
      <c r="H966" s="30"/>
      <c r="I966" s="30"/>
      <c r="J966" s="31"/>
      <c r="K966" s="30"/>
    </row>
    <row r="967">
      <c r="A967" s="37"/>
      <c r="B967" s="7"/>
      <c r="C967" s="25"/>
      <c r="D967" s="9"/>
      <c r="H967" s="30"/>
      <c r="I967" s="30"/>
      <c r="J967" s="31"/>
      <c r="K967" s="30"/>
    </row>
    <row r="968">
      <c r="A968" s="37"/>
      <c r="B968" s="7"/>
      <c r="C968" s="25"/>
      <c r="D968" s="9"/>
      <c r="H968" s="30"/>
      <c r="I968" s="30"/>
      <c r="J968" s="31"/>
      <c r="K968" s="30"/>
    </row>
    <row r="969">
      <c r="A969" s="37"/>
      <c r="B969" s="7"/>
      <c r="C969" s="25"/>
      <c r="D969" s="9"/>
      <c r="H969" s="30"/>
      <c r="I969" s="30"/>
      <c r="J969" s="31"/>
      <c r="K969" s="30"/>
    </row>
    <row r="970">
      <c r="A970" s="37"/>
      <c r="B970" s="7"/>
      <c r="C970" s="25"/>
      <c r="D970" s="9"/>
      <c r="H970" s="30"/>
      <c r="I970" s="30"/>
      <c r="J970" s="31"/>
      <c r="K970" s="30"/>
    </row>
    <row r="971">
      <c r="A971" s="37"/>
      <c r="B971" s="7"/>
      <c r="C971" s="25"/>
      <c r="D971" s="9"/>
      <c r="H971" s="30"/>
      <c r="I971" s="30"/>
      <c r="J971" s="31"/>
      <c r="K971" s="30"/>
    </row>
    <row r="972">
      <c r="A972" s="37"/>
      <c r="B972" s="7"/>
      <c r="C972" s="25"/>
      <c r="D972" s="9"/>
      <c r="H972" s="30"/>
      <c r="I972" s="30"/>
      <c r="J972" s="31"/>
      <c r="K972" s="30"/>
    </row>
    <row r="973">
      <c r="A973" s="37"/>
      <c r="B973" s="7"/>
      <c r="C973" s="25"/>
      <c r="D973" s="9"/>
      <c r="H973" s="30"/>
      <c r="I973" s="30"/>
      <c r="J973" s="31"/>
      <c r="K973" s="30"/>
    </row>
    <row r="974">
      <c r="A974" s="37"/>
      <c r="B974" s="7"/>
      <c r="C974" s="25"/>
      <c r="D974" s="9"/>
      <c r="H974" s="30"/>
      <c r="I974" s="30"/>
      <c r="J974" s="31"/>
      <c r="K974" s="30"/>
    </row>
    <row r="975">
      <c r="A975" s="37"/>
      <c r="B975" s="7"/>
      <c r="C975" s="25"/>
      <c r="D975" s="9"/>
      <c r="H975" s="30"/>
      <c r="I975" s="30"/>
      <c r="J975" s="31"/>
      <c r="K975" s="30"/>
    </row>
    <row r="976">
      <c r="A976" s="37"/>
      <c r="B976" s="7"/>
      <c r="C976" s="25"/>
      <c r="D976" s="9"/>
      <c r="H976" s="30"/>
      <c r="I976" s="30"/>
      <c r="J976" s="31"/>
      <c r="K976" s="30"/>
    </row>
    <row r="977">
      <c r="A977" s="37"/>
      <c r="B977" s="7"/>
      <c r="C977" s="25"/>
      <c r="D977" s="9"/>
      <c r="H977" s="30"/>
      <c r="I977" s="30"/>
      <c r="J977" s="31"/>
      <c r="K977" s="30"/>
    </row>
    <row r="978">
      <c r="A978" s="37"/>
      <c r="B978" s="7"/>
      <c r="C978" s="25"/>
      <c r="D978" s="9"/>
      <c r="H978" s="30"/>
      <c r="I978" s="30"/>
      <c r="J978" s="31"/>
      <c r="K978" s="30"/>
    </row>
    <row r="979">
      <c r="A979" s="37"/>
      <c r="B979" s="7"/>
      <c r="C979" s="25"/>
      <c r="D979" s="9"/>
      <c r="H979" s="30"/>
      <c r="I979" s="30"/>
      <c r="J979" s="31"/>
      <c r="K979" s="30"/>
    </row>
    <row r="980">
      <c r="A980" s="37"/>
      <c r="B980" s="7"/>
      <c r="C980" s="25"/>
      <c r="D980" s="9"/>
      <c r="H980" s="30"/>
      <c r="I980" s="30"/>
      <c r="J980" s="31"/>
      <c r="K980" s="30"/>
    </row>
    <row r="981">
      <c r="A981" s="37"/>
      <c r="B981" s="7"/>
      <c r="C981" s="25"/>
      <c r="D981" s="9"/>
      <c r="H981" s="30"/>
      <c r="I981" s="30"/>
      <c r="J981" s="31"/>
      <c r="K981" s="30"/>
    </row>
    <row r="982">
      <c r="A982" s="37"/>
      <c r="B982" s="7"/>
      <c r="C982" s="25"/>
      <c r="D982" s="9"/>
      <c r="H982" s="30"/>
      <c r="I982" s="30"/>
      <c r="J982" s="31"/>
      <c r="K982" s="30"/>
    </row>
    <row r="983">
      <c r="A983" s="37"/>
      <c r="B983" s="7"/>
      <c r="C983" s="25"/>
      <c r="D983" s="9"/>
      <c r="H983" s="30"/>
      <c r="I983" s="30"/>
      <c r="J983" s="31"/>
      <c r="K983" s="30"/>
    </row>
    <row r="984">
      <c r="A984" s="37"/>
      <c r="B984" s="7"/>
      <c r="C984" s="25"/>
      <c r="D984" s="9"/>
      <c r="H984" s="30"/>
      <c r="I984" s="30"/>
      <c r="J984" s="31"/>
      <c r="K984" s="30"/>
    </row>
    <row r="985">
      <c r="A985" s="37"/>
      <c r="B985" s="7"/>
      <c r="C985" s="25"/>
      <c r="D985" s="9"/>
      <c r="H985" s="30"/>
      <c r="I985" s="30"/>
      <c r="J985" s="31"/>
      <c r="K985" s="30"/>
    </row>
    <row r="986">
      <c r="A986" s="37"/>
      <c r="B986" s="7"/>
      <c r="C986" s="25"/>
      <c r="D986" s="9"/>
      <c r="H986" s="30"/>
      <c r="I986" s="30"/>
      <c r="J986" s="31"/>
      <c r="K986" s="30"/>
    </row>
    <row r="987">
      <c r="A987" s="37"/>
      <c r="B987" s="7"/>
      <c r="C987" s="25"/>
      <c r="D987" s="9"/>
      <c r="H987" s="30"/>
      <c r="I987" s="30"/>
      <c r="J987" s="31"/>
      <c r="K987" s="30"/>
    </row>
    <row r="988">
      <c r="A988" s="37"/>
      <c r="B988" s="7"/>
      <c r="C988" s="25"/>
      <c r="D988" s="9"/>
      <c r="H988" s="30"/>
      <c r="I988" s="30"/>
      <c r="J988" s="31"/>
      <c r="K988" s="30"/>
    </row>
    <row r="989">
      <c r="A989" s="37"/>
      <c r="B989" s="7"/>
      <c r="C989" s="25"/>
      <c r="D989" s="9"/>
      <c r="H989" s="30"/>
      <c r="I989" s="30"/>
      <c r="J989" s="31"/>
      <c r="K989" s="30"/>
    </row>
    <row r="990">
      <c r="A990" s="37"/>
      <c r="B990" s="7"/>
      <c r="C990" s="25"/>
      <c r="D990" s="9"/>
      <c r="H990" s="30"/>
      <c r="I990" s="30"/>
      <c r="J990" s="31"/>
      <c r="K990" s="30"/>
    </row>
    <row r="991">
      <c r="A991" s="37"/>
      <c r="B991" s="7"/>
      <c r="C991" s="25"/>
      <c r="D991" s="9"/>
      <c r="H991" s="30"/>
      <c r="I991" s="30"/>
      <c r="J991" s="31"/>
      <c r="K991" s="30"/>
    </row>
    <row r="992">
      <c r="A992" s="37"/>
      <c r="B992" s="7"/>
      <c r="C992" s="25"/>
      <c r="D992" s="9"/>
      <c r="H992" s="30"/>
      <c r="I992" s="30"/>
      <c r="J992" s="31"/>
      <c r="K992" s="30"/>
    </row>
    <row r="993">
      <c r="A993" s="37"/>
      <c r="B993" s="7"/>
      <c r="C993" s="25"/>
      <c r="D993" s="9"/>
      <c r="H993" s="30"/>
      <c r="I993" s="30"/>
      <c r="J993" s="31"/>
      <c r="K993" s="30"/>
    </row>
    <row r="994">
      <c r="A994" s="37"/>
      <c r="B994" s="7"/>
      <c r="C994" s="25"/>
      <c r="D994" s="9"/>
      <c r="H994" s="30"/>
      <c r="I994" s="30"/>
      <c r="J994" s="31"/>
      <c r="K994" s="30"/>
    </row>
    <row r="995">
      <c r="A995" s="37"/>
      <c r="B995" s="7"/>
      <c r="C995" s="25"/>
      <c r="D995" s="9"/>
      <c r="H995" s="30"/>
      <c r="I995" s="30"/>
      <c r="J995" s="31"/>
      <c r="K995" s="30"/>
    </row>
    <row r="996">
      <c r="A996" s="37"/>
      <c r="B996" s="7"/>
      <c r="C996" s="25"/>
      <c r="D996" s="9"/>
      <c r="H996" s="30"/>
      <c r="I996" s="30"/>
      <c r="J996" s="31"/>
      <c r="K996" s="30"/>
    </row>
    <row r="997">
      <c r="A997" s="37"/>
      <c r="B997" s="7"/>
      <c r="C997" s="25"/>
      <c r="D997" s="9"/>
      <c r="H997" s="30"/>
      <c r="I997" s="30"/>
      <c r="J997" s="31"/>
      <c r="K997" s="30"/>
    </row>
    <row r="998">
      <c r="A998" s="37"/>
      <c r="B998" s="7"/>
      <c r="C998" s="25"/>
      <c r="D998" s="9"/>
      <c r="H998" s="30"/>
      <c r="I998" s="30"/>
      <c r="J998" s="31"/>
      <c r="K998" s="30"/>
    </row>
    <row r="999">
      <c r="A999" s="37"/>
      <c r="B999" s="7"/>
      <c r="C999" s="25"/>
      <c r="D999" s="9"/>
      <c r="H999" s="30"/>
      <c r="I999" s="30"/>
      <c r="J999" s="31"/>
      <c r="K999" s="30"/>
    </row>
    <row r="1000">
      <c r="A1000" s="37"/>
      <c r="B1000" s="7"/>
      <c r="C1000" s="25"/>
      <c r="D1000" s="9"/>
      <c r="H1000" s="30"/>
      <c r="I1000" s="30"/>
      <c r="J1000" s="31"/>
      <c r="K1000" s="30"/>
    </row>
    <row r="1001">
      <c r="A1001" s="37"/>
      <c r="B1001" s="7"/>
      <c r="C1001" s="25"/>
      <c r="D1001" s="9"/>
      <c r="H1001" s="30"/>
      <c r="I1001" s="30"/>
      <c r="J1001" s="31"/>
      <c r="K1001" s="30"/>
    </row>
    <row r="1002">
      <c r="A1002" s="37"/>
      <c r="B1002" s="7"/>
      <c r="C1002" s="25"/>
      <c r="D1002" s="9"/>
      <c r="H1002" s="30"/>
      <c r="I1002" s="30"/>
      <c r="J1002" s="31"/>
      <c r="K1002" s="30"/>
    </row>
    <row r="1003">
      <c r="A1003" s="37"/>
      <c r="B1003" s="7"/>
      <c r="C1003" s="25"/>
      <c r="D1003" s="9"/>
      <c r="H1003" s="30"/>
      <c r="I1003" s="30"/>
      <c r="J1003" s="31"/>
      <c r="K1003" s="30"/>
    </row>
    <row r="1004">
      <c r="A1004" s="37"/>
      <c r="B1004" s="7"/>
      <c r="C1004" s="25"/>
      <c r="D1004" s="9"/>
      <c r="H1004" s="30"/>
      <c r="I1004" s="30"/>
      <c r="J1004" s="31"/>
      <c r="K1004" s="30"/>
    </row>
    <row r="1005">
      <c r="A1005" s="37"/>
      <c r="B1005" s="7"/>
      <c r="C1005" s="25"/>
      <c r="D1005" s="9"/>
      <c r="H1005" s="30"/>
      <c r="I1005" s="30"/>
      <c r="J1005" s="31"/>
      <c r="K1005" s="30"/>
    </row>
    <row r="1006">
      <c r="A1006" s="37"/>
      <c r="B1006" s="7"/>
      <c r="C1006" s="25"/>
      <c r="D1006" s="9"/>
      <c r="H1006" s="30"/>
      <c r="I1006" s="30"/>
      <c r="J1006" s="31"/>
      <c r="K1006" s="30"/>
    </row>
    <row r="1007">
      <c r="A1007" s="37"/>
      <c r="B1007" s="7"/>
      <c r="C1007" s="25"/>
      <c r="D1007" s="9"/>
      <c r="H1007" s="30"/>
      <c r="I1007" s="30"/>
      <c r="J1007" s="31"/>
      <c r="K1007" s="30"/>
    </row>
    <row r="1008">
      <c r="A1008" s="37"/>
      <c r="B1008" s="7"/>
      <c r="C1008" s="25"/>
      <c r="D1008" s="9"/>
      <c r="H1008" s="30"/>
      <c r="I1008" s="30"/>
      <c r="J1008" s="31"/>
      <c r="K1008" s="30"/>
    </row>
    <row r="1009">
      <c r="A1009" s="37"/>
      <c r="B1009" s="7"/>
      <c r="C1009" s="25"/>
      <c r="D1009" s="9"/>
      <c r="H1009" s="30"/>
      <c r="I1009" s="30"/>
      <c r="J1009" s="31"/>
      <c r="K1009" s="30"/>
    </row>
    <row r="1010">
      <c r="A1010" s="37"/>
      <c r="B1010" s="7"/>
      <c r="C1010" s="25"/>
      <c r="D1010" s="9"/>
      <c r="H1010" s="30"/>
      <c r="I1010" s="30"/>
      <c r="J1010" s="31"/>
      <c r="K1010" s="30"/>
    </row>
    <row r="1011">
      <c r="A1011" s="37"/>
      <c r="B1011" s="7"/>
      <c r="C1011" s="25"/>
      <c r="D1011" s="9"/>
      <c r="H1011" s="30"/>
      <c r="I1011" s="30"/>
      <c r="J1011" s="31"/>
      <c r="K1011" s="30"/>
    </row>
    <row r="1012">
      <c r="A1012" s="37"/>
      <c r="B1012" s="7"/>
      <c r="C1012" s="25"/>
      <c r="D1012" s="9"/>
      <c r="H1012" s="30"/>
      <c r="I1012" s="30"/>
      <c r="J1012" s="31"/>
      <c r="K1012" s="30"/>
    </row>
    <row r="1013">
      <c r="A1013" s="37"/>
      <c r="B1013" s="7"/>
      <c r="C1013" s="25"/>
      <c r="D1013" s="9"/>
      <c r="H1013" s="30"/>
      <c r="I1013" s="30"/>
      <c r="J1013" s="31"/>
      <c r="K1013" s="30"/>
    </row>
    <row r="1014">
      <c r="A1014" s="37"/>
      <c r="B1014" s="7"/>
      <c r="C1014" s="25"/>
      <c r="D1014" s="9"/>
      <c r="H1014" s="30"/>
      <c r="I1014" s="30"/>
      <c r="J1014" s="31"/>
      <c r="K1014" s="30"/>
    </row>
    <row r="1015">
      <c r="A1015" s="37"/>
      <c r="B1015" s="7"/>
      <c r="C1015" s="25"/>
      <c r="D1015" s="9"/>
      <c r="H1015" s="30"/>
      <c r="I1015" s="30"/>
      <c r="J1015" s="31"/>
      <c r="K1015" s="30"/>
    </row>
    <row r="1016">
      <c r="A1016" s="37"/>
      <c r="B1016" s="7"/>
      <c r="C1016" s="25"/>
      <c r="D1016" s="9"/>
      <c r="H1016" s="30"/>
      <c r="I1016" s="30"/>
      <c r="J1016" s="31"/>
      <c r="K1016" s="30"/>
    </row>
    <row r="1017">
      <c r="A1017" s="37"/>
      <c r="B1017" s="7"/>
      <c r="C1017" s="25"/>
      <c r="D1017" s="9"/>
      <c r="H1017" s="30"/>
      <c r="I1017" s="30"/>
      <c r="J1017" s="31"/>
      <c r="K1017" s="30"/>
    </row>
    <row r="1018">
      <c r="A1018" s="37"/>
      <c r="B1018" s="7"/>
      <c r="C1018" s="25"/>
      <c r="D1018" s="9"/>
      <c r="H1018" s="30"/>
      <c r="I1018" s="30"/>
      <c r="J1018" s="31"/>
      <c r="K1018" s="30"/>
    </row>
    <row r="1019">
      <c r="A1019" s="37"/>
      <c r="B1019" s="7"/>
      <c r="C1019" s="25"/>
      <c r="D1019" s="9"/>
      <c r="H1019" s="30"/>
      <c r="I1019" s="30"/>
      <c r="J1019" s="31"/>
      <c r="K1019" s="30"/>
    </row>
    <row r="1020">
      <c r="A1020" s="37"/>
      <c r="B1020" s="7"/>
      <c r="C1020" s="25"/>
      <c r="D1020" s="9"/>
      <c r="H1020" s="30"/>
      <c r="I1020" s="30"/>
      <c r="J1020" s="31"/>
      <c r="K1020" s="30"/>
    </row>
    <row r="1021">
      <c r="A1021" s="37"/>
      <c r="B1021" s="7"/>
      <c r="C1021" s="25"/>
      <c r="D1021" s="9"/>
      <c r="H1021" s="30"/>
      <c r="I1021" s="30"/>
      <c r="J1021" s="31"/>
      <c r="K1021" s="30"/>
    </row>
    <row r="1022">
      <c r="A1022" s="37"/>
      <c r="B1022" s="7"/>
      <c r="C1022" s="25"/>
      <c r="D1022" s="9"/>
      <c r="H1022" s="30"/>
      <c r="I1022" s="30"/>
      <c r="J1022" s="31"/>
      <c r="K1022" s="30"/>
    </row>
    <row r="1023">
      <c r="A1023" s="37"/>
      <c r="B1023" s="7"/>
      <c r="C1023" s="25"/>
      <c r="D1023" s="9"/>
      <c r="H1023" s="30"/>
      <c r="I1023" s="30"/>
      <c r="J1023" s="31"/>
      <c r="K1023" s="30"/>
    </row>
    <row r="1024">
      <c r="A1024" s="37"/>
      <c r="B1024" s="7"/>
      <c r="C1024" s="25"/>
      <c r="D1024" s="9"/>
      <c r="H1024" s="30"/>
      <c r="I1024" s="30"/>
      <c r="J1024" s="31"/>
      <c r="K1024" s="30"/>
    </row>
    <row r="1025">
      <c r="A1025" s="37"/>
      <c r="B1025" s="7"/>
      <c r="C1025" s="25"/>
      <c r="D1025" s="9"/>
      <c r="H1025" s="30"/>
      <c r="I1025" s="30"/>
      <c r="J1025" s="31"/>
      <c r="K1025" s="30"/>
    </row>
    <row r="1026">
      <c r="A1026" s="37"/>
      <c r="B1026" s="7"/>
      <c r="C1026" s="25"/>
      <c r="D1026" s="9"/>
      <c r="H1026" s="30"/>
      <c r="I1026" s="30"/>
      <c r="J1026" s="31"/>
      <c r="K1026" s="30"/>
    </row>
    <row r="1027">
      <c r="A1027" s="37"/>
      <c r="B1027" s="7"/>
      <c r="C1027" s="25"/>
      <c r="D1027" s="9"/>
      <c r="H1027" s="30"/>
      <c r="I1027" s="30"/>
      <c r="J1027" s="31"/>
      <c r="K1027" s="30"/>
    </row>
    <row r="1028">
      <c r="A1028" s="37"/>
      <c r="B1028" s="7"/>
      <c r="C1028" s="25"/>
      <c r="D1028" s="9"/>
      <c r="H1028" s="30"/>
      <c r="I1028" s="30"/>
      <c r="J1028" s="31"/>
      <c r="K1028" s="30"/>
    </row>
    <row r="1029">
      <c r="A1029" s="37"/>
      <c r="B1029" s="7"/>
      <c r="C1029" s="25"/>
      <c r="D1029" s="9"/>
      <c r="H1029" s="30"/>
      <c r="I1029" s="30"/>
      <c r="J1029" s="31"/>
      <c r="K1029" s="30"/>
    </row>
    <row r="1030">
      <c r="A1030" s="37"/>
      <c r="B1030" s="7"/>
      <c r="C1030" s="25"/>
      <c r="D1030" s="9"/>
      <c r="H1030" s="30"/>
      <c r="I1030" s="30"/>
      <c r="J1030" s="31"/>
      <c r="K1030" s="30"/>
    </row>
    <row r="1031">
      <c r="A1031" s="37"/>
      <c r="B1031" s="7"/>
      <c r="C1031" s="25"/>
      <c r="D1031" s="9"/>
      <c r="H1031" s="30"/>
      <c r="I1031" s="30"/>
      <c r="J1031" s="31"/>
      <c r="K1031" s="30"/>
    </row>
    <row r="1032">
      <c r="A1032" s="37"/>
      <c r="B1032" s="7"/>
      <c r="C1032" s="25"/>
      <c r="D1032" s="9"/>
      <c r="H1032" s="30"/>
      <c r="I1032" s="30"/>
      <c r="J1032" s="31"/>
      <c r="K1032" s="30"/>
    </row>
    <row r="1033">
      <c r="A1033" s="37"/>
      <c r="B1033" s="7"/>
      <c r="C1033" s="25"/>
      <c r="D1033" s="9"/>
      <c r="H1033" s="30"/>
      <c r="I1033" s="30"/>
      <c r="J1033" s="31"/>
      <c r="K1033" s="30"/>
    </row>
    <row r="1034">
      <c r="A1034" s="37"/>
      <c r="B1034" s="7"/>
      <c r="C1034" s="25"/>
      <c r="D1034" s="9"/>
      <c r="H1034" s="30"/>
      <c r="I1034" s="30"/>
      <c r="J1034" s="31"/>
      <c r="K1034" s="30"/>
    </row>
    <row r="1035">
      <c r="A1035" s="37"/>
      <c r="B1035" s="7"/>
      <c r="C1035" s="25"/>
      <c r="D1035" s="9"/>
      <c r="H1035" s="30"/>
      <c r="I1035" s="30"/>
      <c r="J1035" s="31"/>
      <c r="K1035" s="30"/>
    </row>
    <row r="1036">
      <c r="A1036" s="37"/>
      <c r="B1036" s="7"/>
      <c r="C1036" s="25"/>
      <c r="D1036" s="9"/>
      <c r="H1036" s="30"/>
      <c r="I1036" s="30"/>
      <c r="J1036" s="31"/>
      <c r="K1036" s="30"/>
    </row>
    <row r="1037">
      <c r="A1037" s="37"/>
      <c r="B1037" s="7"/>
      <c r="C1037" s="25"/>
      <c r="D1037" s="9"/>
      <c r="H1037" s="30"/>
      <c r="I1037" s="30"/>
      <c r="J1037" s="31"/>
      <c r="K1037" s="30"/>
    </row>
    <row r="1038">
      <c r="A1038" s="37"/>
      <c r="B1038" s="7"/>
      <c r="C1038" s="25"/>
      <c r="D1038" s="9"/>
      <c r="H1038" s="30"/>
      <c r="I1038" s="30"/>
      <c r="J1038" s="31"/>
      <c r="K1038" s="30"/>
    </row>
    <row r="1039">
      <c r="A1039" s="37"/>
      <c r="B1039" s="7"/>
      <c r="C1039" s="25"/>
      <c r="D1039" s="9"/>
      <c r="H1039" s="30"/>
      <c r="I1039" s="30"/>
      <c r="J1039" s="31"/>
      <c r="K1039" s="30"/>
    </row>
    <row r="1040">
      <c r="A1040" s="37"/>
      <c r="B1040" s="7"/>
      <c r="C1040" s="25"/>
      <c r="D1040" s="9"/>
      <c r="H1040" s="30"/>
      <c r="I1040" s="30"/>
      <c r="J1040" s="31"/>
      <c r="K1040" s="30"/>
    </row>
    <row r="1041">
      <c r="A1041" s="37"/>
      <c r="B1041" s="7"/>
      <c r="C1041" s="25"/>
      <c r="D1041" s="9"/>
      <c r="H1041" s="30"/>
      <c r="I1041" s="30"/>
      <c r="J1041" s="31"/>
      <c r="K1041" s="30"/>
    </row>
    <row r="1042">
      <c r="A1042" s="37"/>
      <c r="B1042" s="7"/>
      <c r="C1042" s="25"/>
      <c r="D1042" s="9"/>
      <c r="H1042" s="30"/>
      <c r="I1042" s="30"/>
      <c r="J1042" s="31"/>
      <c r="K1042" s="30"/>
    </row>
    <row r="1043">
      <c r="A1043" s="37"/>
      <c r="B1043" s="7"/>
      <c r="C1043" s="25"/>
      <c r="D1043" s="9"/>
      <c r="H1043" s="30"/>
      <c r="I1043" s="30"/>
      <c r="J1043" s="31"/>
      <c r="K1043" s="30"/>
    </row>
    <row r="1044">
      <c r="A1044" s="37"/>
      <c r="B1044" s="7"/>
      <c r="C1044" s="25"/>
      <c r="D1044" s="9"/>
      <c r="H1044" s="30"/>
      <c r="I1044" s="30"/>
      <c r="J1044" s="31"/>
      <c r="K1044" s="30"/>
    </row>
    <row r="1045">
      <c r="A1045" s="37"/>
      <c r="B1045" s="7"/>
      <c r="C1045" s="25"/>
      <c r="D1045" s="9"/>
      <c r="H1045" s="30"/>
      <c r="I1045" s="30"/>
      <c r="J1045" s="31"/>
      <c r="K1045" s="30"/>
    </row>
    <row r="1046">
      <c r="A1046" s="37"/>
      <c r="B1046" s="7"/>
      <c r="C1046" s="25"/>
      <c r="D1046" s="9"/>
      <c r="H1046" s="30"/>
      <c r="I1046" s="30"/>
      <c r="J1046" s="31"/>
      <c r="K1046" s="30"/>
    </row>
    <row r="1047">
      <c r="A1047" s="37"/>
      <c r="B1047" s="7"/>
      <c r="C1047" s="25"/>
      <c r="D1047" s="9"/>
      <c r="H1047" s="30"/>
      <c r="I1047" s="30"/>
      <c r="J1047" s="31"/>
      <c r="K1047" s="30"/>
    </row>
    <row r="1048">
      <c r="A1048" s="37"/>
      <c r="B1048" s="7"/>
      <c r="C1048" s="25"/>
      <c r="D1048" s="9"/>
      <c r="H1048" s="30"/>
      <c r="I1048" s="30"/>
      <c r="J1048" s="31"/>
      <c r="K1048" s="30"/>
    </row>
    <row r="1049">
      <c r="A1049" s="37"/>
      <c r="B1049" s="7"/>
      <c r="C1049" s="25"/>
      <c r="D1049" s="9"/>
      <c r="H1049" s="30"/>
      <c r="I1049" s="30"/>
      <c r="J1049" s="31"/>
      <c r="K1049" s="30"/>
    </row>
    <row r="1050">
      <c r="A1050" s="37"/>
      <c r="B1050" s="7"/>
      <c r="C1050" s="25"/>
      <c r="D1050" s="9"/>
      <c r="H1050" s="30"/>
      <c r="I1050" s="30"/>
      <c r="J1050" s="31"/>
      <c r="K1050" s="30"/>
    </row>
    <row r="1051">
      <c r="A1051" s="37"/>
      <c r="B1051" s="7"/>
      <c r="C1051" s="25"/>
      <c r="D1051" s="9"/>
      <c r="H1051" s="30"/>
      <c r="I1051" s="30"/>
      <c r="J1051" s="31"/>
      <c r="K1051" s="30"/>
    </row>
    <row r="1052">
      <c r="A1052" s="37"/>
      <c r="B1052" s="7"/>
      <c r="C1052" s="25"/>
      <c r="D1052" s="9"/>
      <c r="H1052" s="30"/>
      <c r="I1052" s="30"/>
      <c r="J1052" s="31"/>
      <c r="K1052" s="30"/>
    </row>
    <row r="1053">
      <c r="A1053" s="37"/>
      <c r="B1053" s="7"/>
      <c r="C1053" s="25"/>
      <c r="D1053" s="9"/>
      <c r="H1053" s="30"/>
      <c r="I1053" s="30"/>
      <c r="J1053" s="31"/>
      <c r="K1053" s="30"/>
    </row>
    <row r="1054">
      <c r="A1054" s="37"/>
      <c r="B1054" s="7"/>
      <c r="C1054" s="25"/>
      <c r="D1054" s="9"/>
      <c r="H1054" s="30"/>
      <c r="I1054" s="30"/>
      <c r="J1054" s="31"/>
      <c r="K1054" s="30"/>
    </row>
    <row r="1055">
      <c r="A1055" s="37"/>
      <c r="B1055" s="7"/>
      <c r="C1055" s="25"/>
      <c r="D1055" s="9"/>
      <c r="H1055" s="30"/>
      <c r="I1055" s="30"/>
      <c r="J1055" s="31"/>
      <c r="K1055" s="30"/>
    </row>
    <row r="1056">
      <c r="A1056" s="37"/>
      <c r="B1056" s="7"/>
      <c r="C1056" s="25"/>
      <c r="D1056" s="9"/>
      <c r="H1056" s="30"/>
      <c r="I1056" s="30"/>
      <c r="J1056" s="31"/>
      <c r="K1056" s="30"/>
    </row>
    <row r="1057">
      <c r="A1057" s="37"/>
      <c r="B1057" s="7"/>
      <c r="C1057" s="25"/>
      <c r="D1057" s="9"/>
      <c r="H1057" s="30"/>
      <c r="I1057" s="30"/>
      <c r="J1057" s="31"/>
      <c r="K1057" s="30"/>
    </row>
    <row r="1058">
      <c r="A1058" s="37"/>
      <c r="B1058" s="7"/>
      <c r="C1058" s="25"/>
      <c r="D1058" s="9"/>
      <c r="H1058" s="30"/>
      <c r="I1058" s="30"/>
      <c r="J1058" s="31"/>
      <c r="K1058" s="30"/>
    </row>
    <row r="1059">
      <c r="A1059" s="37"/>
      <c r="B1059" s="7"/>
      <c r="C1059" s="25"/>
      <c r="D1059" s="9"/>
      <c r="H1059" s="30"/>
      <c r="I1059" s="30"/>
      <c r="J1059" s="31"/>
      <c r="K1059" s="30"/>
    </row>
    <row r="1060">
      <c r="A1060" s="37"/>
      <c r="B1060" s="7"/>
      <c r="C1060" s="25"/>
      <c r="D1060" s="9"/>
      <c r="H1060" s="30"/>
      <c r="I1060" s="30"/>
      <c r="J1060" s="31"/>
      <c r="K1060" s="30"/>
    </row>
    <row r="1061">
      <c r="A1061" s="37"/>
      <c r="B1061" s="7"/>
      <c r="C1061" s="25"/>
      <c r="D1061" s="9"/>
      <c r="H1061" s="30"/>
      <c r="I1061" s="30"/>
      <c r="J1061" s="31"/>
      <c r="K1061" s="30"/>
    </row>
    <row r="1062">
      <c r="A1062" s="37"/>
      <c r="B1062" s="7"/>
      <c r="C1062" s="25"/>
      <c r="D1062" s="9"/>
      <c r="H1062" s="30"/>
      <c r="I1062" s="30"/>
      <c r="J1062" s="31"/>
      <c r="K1062" s="30"/>
    </row>
    <row r="1063">
      <c r="A1063" s="37"/>
      <c r="B1063" s="7"/>
      <c r="C1063" s="25"/>
      <c r="D1063" s="9"/>
      <c r="H1063" s="30"/>
      <c r="I1063" s="30"/>
      <c r="J1063" s="31"/>
      <c r="K1063" s="30"/>
    </row>
    <row r="1064">
      <c r="A1064" s="37"/>
      <c r="B1064" s="7"/>
      <c r="C1064" s="25"/>
      <c r="D1064" s="9"/>
      <c r="H1064" s="30"/>
      <c r="I1064" s="30"/>
      <c r="J1064" s="31"/>
      <c r="K1064" s="30"/>
    </row>
    <row r="1065">
      <c r="A1065" s="37"/>
      <c r="B1065" s="7"/>
      <c r="C1065" s="25"/>
      <c r="D1065" s="9"/>
      <c r="H1065" s="30"/>
      <c r="I1065" s="30"/>
      <c r="J1065" s="31"/>
      <c r="K1065" s="30"/>
    </row>
    <row r="1066">
      <c r="A1066" s="37"/>
      <c r="B1066" s="7"/>
      <c r="C1066" s="25"/>
      <c r="D1066" s="9"/>
      <c r="H1066" s="30"/>
      <c r="I1066" s="30"/>
      <c r="J1066" s="31"/>
      <c r="K1066" s="30"/>
    </row>
    <row r="1067">
      <c r="A1067" s="37"/>
      <c r="B1067" s="7"/>
      <c r="C1067" s="25"/>
      <c r="D1067" s="9"/>
      <c r="H1067" s="30"/>
      <c r="I1067" s="30"/>
      <c r="J1067" s="31"/>
      <c r="K1067" s="30"/>
    </row>
    <row r="1068">
      <c r="A1068" s="37"/>
      <c r="B1068" s="7"/>
      <c r="C1068" s="25"/>
      <c r="D1068" s="9"/>
      <c r="H1068" s="30"/>
      <c r="I1068" s="30"/>
      <c r="J1068" s="31"/>
      <c r="K1068" s="30"/>
    </row>
    <row r="1069">
      <c r="A1069" s="37"/>
      <c r="B1069" s="7"/>
      <c r="C1069" s="25"/>
      <c r="D1069" s="9"/>
      <c r="H1069" s="30"/>
      <c r="I1069" s="30"/>
      <c r="J1069" s="31"/>
      <c r="K1069" s="30"/>
    </row>
    <row r="1070">
      <c r="A1070" s="37"/>
      <c r="B1070" s="7"/>
      <c r="C1070" s="25"/>
      <c r="D1070" s="9"/>
      <c r="H1070" s="30"/>
      <c r="I1070" s="30"/>
      <c r="J1070" s="31"/>
      <c r="K1070" s="30"/>
    </row>
    <row r="1071">
      <c r="A1071" s="37"/>
      <c r="B1071" s="7"/>
      <c r="C1071" s="25"/>
      <c r="D1071" s="9"/>
      <c r="H1071" s="30"/>
      <c r="I1071" s="30"/>
      <c r="J1071" s="31"/>
      <c r="K1071" s="30"/>
    </row>
  </sheetData>
  <autoFilter ref="$A$1:$G$94">
    <filterColumn colId="4">
      <filters>
        <filter val="FUNDA"/>
      </filters>
    </filterColumn>
    <filterColumn colId="5">
      <filters blank="1">
        <filter val="B"/>
        <filter val="C"/>
      </filters>
    </filterColumn>
    <sortState ref="A1:G94">
      <sortCondition descending="1" ref="B1:B9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14.13"/>
    <col customWidth="1" min="3" max="3" width="22.25"/>
    <col customWidth="1" min="4" max="4" width="9.25"/>
    <col customWidth="1" min="5" max="5" width="35.13"/>
    <col customWidth="1" min="6" max="6" width="19.13"/>
  </cols>
  <sheetData>
    <row r="6">
      <c r="A6" s="1"/>
      <c r="B6" s="1"/>
    </row>
    <row r="9">
      <c r="A9" s="1" t="s">
        <v>3</v>
      </c>
      <c r="B9" s="1">
        <v>23.0</v>
      </c>
    </row>
    <row r="10">
      <c r="A10" s="1" t="s">
        <v>5</v>
      </c>
      <c r="B10" s="1">
        <v>50.0</v>
      </c>
    </row>
    <row r="14">
      <c r="A14" s="1" t="s">
        <v>6</v>
      </c>
      <c r="B14" s="1">
        <v>35.0</v>
      </c>
    </row>
    <row r="15">
      <c r="E15" s="7"/>
    </row>
    <row r="16">
      <c r="E16" s="7"/>
    </row>
    <row r="17">
      <c r="E17" s="7"/>
    </row>
    <row r="18">
      <c r="E18" s="7"/>
    </row>
    <row r="19">
      <c r="A19" s="1"/>
      <c r="E19" s="7"/>
    </row>
    <row r="20">
      <c r="E20" s="7"/>
    </row>
    <row r="21">
      <c r="E21" s="7"/>
    </row>
    <row r="22">
      <c r="A22" s="1"/>
      <c r="E22" s="7"/>
    </row>
    <row r="23">
      <c r="E23" s="7"/>
    </row>
    <row r="24">
      <c r="E24" s="7"/>
    </row>
    <row r="25">
      <c r="E25" s="7"/>
    </row>
    <row r="26">
      <c r="E26" s="7"/>
    </row>
    <row r="27">
      <c r="E27" s="7"/>
    </row>
    <row r="28">
      <c r="E28" s="7"/>
    </row>
    <row r="29">
      <c r="E29" s="7"/>
    </row>
    <row r="30">
      <c r="E30" s="7"/>
    </row>
    <row r="31">
      <c r="E31" s="7"/>
    </row>
    <row r="32">
      <c r="E32" s="7"/>
    </row>
    <row r="33">
      <c r="E33" s="7"/>
    </row>
    <row r="34">
      <c r="E34" s="7"/>
    </row>
    <row r="35">
      <c r="E35" s="7"/>
    </row>
    <row r="36">
      <c r="E36" s="7"/>
    </row>
    <row r="37">
      <c r="E37" s="7"/>
    </row>
    <row r="38">
      <c r="E38" s="7"/>
    </row>
    <row r="39">
      <c r="E39" s="7"/>
    </row>
    <row r="40">
      <c r="E40" s="7"/>
    </row>
    <row r="41">
      <c r="E41" s="7"/>
    </row>
    <row r="42">
      <c r="E42" s="7"/>
    </row>
    <row r="43">
      <c r="E43" s="7"/>
    </row>
    <row r="44">
      <c r="E44" s="7"/>
    </row>
    <row r="45">
      <c r="E45" s="7"/>
    </row>
    <row r="46">
      <c r="E46" s="7"/>
    </row>
    <row r="47">
      <c r="E47" s="7"/>
    </row>
    <row r="48">
      <c r="E48" s="7"/>
    </row>
    <row r="49">
      <c r="E49" s="7"/>
    </row>
    <row r="50">
      <c r="E50" s="7"/>
    </row>
    <row r="51">
      <c r="E51" s="7"/>
    </row>
    <row r="52">
      <c r="E52" s="7"/>
    </row>
    <row r="53">
      <c r="E53" s="7"/>
    </row>
    <row r="54">
      <c r="E54" s="7"/>
    </row>
    <row r="55">
      <c r="E55" s="7"/>
    </row>
    <row r="56">
      <c r="E56" s="7"/>
    </row>
    <row r="57">
      <c r="E57" s="7"/>
    </row>
    <row r="58">
      <c r="E58" s="7"/>
    </row>
    <row r="59">
      <c r="E59" s="7"/>
    </row>
    <row r="60">
      <c r="E60" s="7"/>
    </row>
    <row r="61">
      <c r="E61" s="7"/>
    </row>
    <row r="62">
      <c r="E62" s="7"/>
    </row>
    <row r="63">
      <c r="E63" s="7"/>
    </row>
    <row r="64">
      <c r="E64" s="7"/>
    </row>
    <row r="65">
      <c r="E65" s="7"/>
    </row>
    <row r="66">
      <c r="E66" s="7"/>
    </row>
    <row r="67">
      <c r="E67" s="7"/>
    </row>
    <row r="68">
      <c r="E68" s="7"/>
    </row>
    <row r="69">
      <c r="E69" s="7"/>
    </row>
    <row r="70">
      <c r="E70" s="7"/>
    </row>
    <row r="71">
      <c r="E71" s="7"/>
    </row>
    <row r="72">
      <c r="E72" s="7"/>
    </row>
    <row r="73">
      <c r="E73" s="7"/>
    </row>
    <row r="74">
      <c r="E74" s="7"/>
    </row>
    <row r="75">
      <c r="E75" s="7"/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75"/>
    <col customWidth="1" min="5" max="5" width="25.0"/>
    <col customWidth="1" min="7" max="7" width="25.13"/>
    <col customWidth="1" min="8" max="8" width="16.75"/>
    <col customWidth="1" min="9" max="9" width="24.88"/>
  </cols>
  <sheetData>
    <row r="1">
      <c r="A1" s="1" t="s">
        <v>0</v>
      </c>
      <c r="B1" s="1">
        <v>360.0</v>
      </c>
      <c r="C1" s="1"/>
      <c r="D1" s="1"/>
      <c r="F1" s="5"/>
      <c r="I1" s="8"/>
    </row>
    <row r="2">
      <c r="A2" s="1" t="s">
        <v>12</v>
      </c>
      <c r="B2" s="1">
        <v>10.0</v>
      </c>
      <c r="F2" s="5"/>
      <c r="H2" s="10"/>
    </row>
    <row r="3">
      <c r="C3" s="1"/>
      <c r="D3" s="1"/>
    </row>
    <row r="4">
      <c r="A4" s="1" t="s">
        <v>16</v>
      </c>
      <c r="B4" s="1">
        <v>20.0</v>
      </c>
      <c r="C4" s="1"/>
      <c r="D4" s="1"/>
    </row>
    <row r="5">
      <c r="A5" s="1" t="s">
        <v>18</v>
      </c>
      <c r="B5" s="1">
        <v>40.0</v>
      </c>
      <c r="C5" s="1"/>
      <c r="D5" s="1"/>
    </row>
    <row r="6">
      <c r="A6" s="1" t="s">
        <v>19</v>
      </c>
      <c r="B6" s="1">
        <v>20.0</v>
      </c>
      <c r="D6" s="1"/>
    </row>
    <row r="7">
      <c r="C7" s="1"/>
      <c r="D7" s="1"/>
    </row>
    <row r="8">
      <c r="A8" s="1" t="s">
        <v>20</v>
      </c>
      <c r="B8" s="1">
        <v>70.0</v>
      </c>
      <c r="C8" s="1"/>
      <c r="D8" s="1"/>
    </row>
    <row r="9">
      <c r="A9" s="1" t="s">
        <v>21</v>
      </c>
      <c r="B9" s="1">
        <v>900.0</v>
      </c>
      <c r="C9" s="1"/>
      <c r="D9" s="1"/>
    </row>
    <row r="10">
      <c r="A10" s="1" t="s">
        <v>22</v>
      </c>
      <c r="B10" s="1">
        <v>30.0</v>
      </c>
      <c r="C10" s="1"/>
      <c r="D10" s="1"/>
    </row>
    <row r="11">
      <c r="A11" s="1" t="s">
        <v>23</v>
      </c>
      <c r="B11" s="1">
        <v>60.0</v>
      </c>
      <c r="C11" s="1"/>
      <c r="D11" s="1"/>
    </row>
    <row r="12">
      <c r="A12" s="1" t="s">
        <v>24</v>
      </c>
      <c r="B12" s="13">
        <v>30.0</v>
      </c>
      <c r="C12" s="13"/>
      <c r="D12" s="13"/>
    </row>
    <row r="13">
      <c r="A13" s="1" t="s">
        <v>27</v>
      </c>
      <c r="B13" s="13">
        <v>10.0</v>
      </c>
      <c r="C13" s="13"/>
      <c r="D13" s="13"/>
    </row>
    <row r="14">
      <c r="A14" s="1" t="s">
        <v>28</v>
      </c>
      <c r="B14" s="1">
        <v>40.0</v>
      </c>
      <c r="C14" s="1"/>
      <c r="D14" s="1"/>
    </row>
    <row r="15">
      <c r="A15" s="1" t="s">
        <v>29</v>
      </c>
      <c r="B15" s="1">
        <v>105.0</v>
      </c>
      <c r="C15" s="1"/>
      <c r="D15" s="1"/>
    </row>
    <row r="16">
      <c r="A16" s="1" t="s">
        <v>31</v>
      </c>
      <c r="B16" s="13">
        <v>20.0</v>
      </c>
      <c r="C16" s="13"/>
      <c r="D16" s="13"/>
    </row>
    <row r="17">
      <c r="A17" s="1" t="s">
        <v>32</v>
      </c>
      <c r="B17" s="1">
        <v>350.0</v>
      </c>
      <c r="C17" s="1"/>
      <c r="D17" s="1"/>
    </row>
    <row r="18">
      <c r="A18" s="1" t="s">
        <v>33</v>
      </c>
      <c r="B18" s="1">
        <v>30.0</v>
      </c>
      <c r="F18" s="5"/>
      <c r="H18" s="10"/>
    </row>
    <row r="19">
      <c r="A19" s="1" t="s">
        <v>34</v>
      </c>
      <c r="B19" s="1">
        <v>160.0</v>
      </c>
      <c r="C19" s="1"/>
      <c r="D19" s="1"/>
    </row>
    <row r="20">
      <c r="A20" s="1" t="s">
        <v>35</v>
      </c>
      <c r="B20" s="1">
        <v>250.0</v>
      </c>
      <c r="C20" s="1"/>
      <c r="D20" s="1"/>
    </row>
    <row r="21">
      <c r="B21" s="13"/>
      <c r="C21" s="13"/>
      <c r="D21" s="13"/>
    </row>
    <row r="22">
      <c r="A22" s="1"/>
      <c r="B22" s="1"/>
      <c r="D22" s="1"/>
      <c r="E22" s="16"/>
      <c r="F22" s="5"/>
    </row>
    <row r="23">
      <c r="A23" s="1" t="s">
        <v>36</v>
      </c>
      <c r="B23" s="1">
        <v>60.0</v>
      </c>
      <c r="D23" s="1"/>
      <c r="E23" s="16"/>
      <c r="F23" s="5"/>
    </row>
    <row r="24">
      <c r="A24" s="16" t="s">
        <v>37</v>
      </c>
      <c r="B24" s="1">
        <v>50.0</v>
      </c>
      <c r="D24" s="1"/>
      <c r="F24" s="5"/>
      <c r="I24" s="8"/>
    </row>
    <row r="25">
      <c r="A25" s="16" t="s">
        <v>38</v>
      </c>
      <c r="B25" s="1">
        <v>60.0</v>
      </c>
      <c r="D25" s="1"/>
      <c r="I25" s="16"/>
    </row>
    <row r="26">
      <c r="A26" s="16" t="s">
        <v>39</v>
      </c>
      <c r="B26" s="1">
        <v>20.0</v>
      </c>
      <c r="F26" s="5"/>
      <c r="H26" s="10"/>
    </row>
    <row r="27">
      <c r="A27" s="1" t="s">
        <v>40</v>
      </c>
      <c r="B27" s="1">
        <v>54.0</v>
      </c>
      <c r="D27" s="1"/>
    </row>
    <row r="28">
      <c r="A28" s="16" t="s">
        <v>42</v>
      </c>
      <c r="B28" s="1">
        <v>10.0</v>
      </c>
      <c r="D28" s="1"/>
    </row>
    <row r="29">
      <c r="A29" s="16" t="s">
        <v>43</v>
      </c>
      <c r="B29" s="1">
        <v>170.0</v>
      </c>
      <c r="D29" s="1"/>
    </row>
    <row r="30">
      <c r="A30" s="1" t="s">
        <v>45</v>
      </c>
      <c r="B30" s="1">
        <v>80.0</v>
      </c>
      <c r="D30" s="1"/>
      <c r="H30" s="1"/>
    </row>
    <row r="31">
      <c r="A31" s="1" t="s">
        <v>46</v>
      </c>
      <c r="B31" s="1">
        <v>100.0</v>
      </c>
      <c r="D31" s="1"/>
      <c r="F31" s="5"/>
    </row>
    <row r="32">
      <c r="A32" s="1" t="s">
        <v>47</v>
      </c>
      <c r="B32" s="1">
        <v>60.0</v>
      </c>
      <c r="D32" s="1"/>
      <c r="F32" s="5"/>
    </row>
    <row r="33">
      <c r="A33" s="16"/>
      <c r="D33" s="1"/>
      <c r="F33" s="5"/>
    </row>
    <row r="34">
      <c r="A34" s="1" t="s">
        <v>48</v>
      </c>
      <c r="B34" s="1">
        <v>71.0</v>
      </c>
      <c r="C34" s="1"/>
      <c r="D34" s="1"/>
      <c r="F34" s="5"/>
    </row>
    <row r="35">
      <c r="A35" s="1" t="s">
        <v>49</v>
      </c>
      <c r="B35" s="1">
        <v>30.0</v>
      </c>
      <c r="F35" s="5"/>
      <c r="H35" s="10"/>
    </row>
    <row r="36">
      <c r="A36" s="1" t="s">
        <v>50</v>
      </c>
      <c r="B36" s="13">
        <v>10.0</v>
      </c>
      <c r="C36" s="13"/>
      <c r="D36" s="13"/>
      <c r="F36" s="5"/>
    </row>
    <row r="37">
      <c r="A37" s="8" t="s">
        <v>54</v>
      </c>
      <c r="B37" s="1">
        <v>320.0</v>
      </c>
      <c r="C37" s="1"/>
      <c r="D37" s="1"/>
      <c r="F37" s="5"/>
    </row>
    <row r="38">
      <c r="B38" s="13"/>
      <c r="C38" s="13"/>
      <c r="D38" s="13"/>
    </row>
    <row r="39">
      <c r="C39" s="1"/>
      <c r="D39" s="1"/>
    </row>
    <row r="40">
      <c r="B40" s="13"/>
      <c r="C40" s="13"/>
      <c r="D40" s="13"/>
    </row>
    <row r="41">
      <c r="A41" s="16"/>
      <c r="B41" s="1"/>
      <c r="D41" s="1"/>
      <c r="I41" s="16"/>
    </row>
    <row r="42">
      <c r="D42" s="1"/>
    </row>
    <row r="43">
      <c r="A43" s="17"/>
      <c r="B43" s="1"/>
      <c r="D43" s="1"/>
      <c r="E43" s="1"/>
      <c r="F43" s="5"/>
      <c r="I43" s="18"/>
    </row>
    <row r="44">
      <c r="A44" s="17"/>
      <c r="B44" s="13"/>
      <c r="C44" s="13"/>
      <c r="D44" s="13"/>
      <c r="F44" s="5"/>
    </row>
    <row r="46">
      <c r="E46" s="1"/>
      <c r="F46" s="13"/>
    </row>
    <row r="48">
      <c r="F48" s="5"/>
      <c r="H48" s="10"/>
    </row>
    <row r="49">
      <c r="F49" s="5"/>
      <c r="H49" s="10"/>
    </row>
    <row r="50">
      <c r="F50" s="5"/>
      <c r="H50" s="10"/>
    </row>
    <row r="51">
      <c r="F51" s="5"/>
      <c r="H51" s="10"/>
    </row>
    <row r="52">
      <c r="F52" s="5"/>
      <c r="H52" s="10"/>
    </row>
    <row r="53">
      <c r="F53" s="5"/>
      <c r="H53" s="10"/>
    </row>
    <row r="54">
      <c r="F54" s="5"/>
      <c r="H54" s="10"/>
    </row>
    <row r="55">
      <c r="F55" s="5"/>
      <c r="H55" s="10"/>
    </row>
    <row r="56">
      <c r="F56" s="5"/>
      <c r="H56" s="10"/>
    </row>
    <row r="57">
      <c r="F57" s="5"/>
      <c r="H57" s="10"/>
    </row>
    <row r="58">
      <c r="F58" s="5"/>
      <c r="H58" s="10"/>
    </row>
    <row r="59">
      <c r="F59" s="5"/>
      <c r="H59" s="10"/>
    </row>
    <row r="60">
      <c r="F60" s="5"/>
      <c r="H60" s="10"/>
    </row>
    <row r="61">
      <c r="F61" s="5"/>
      <c r="H61" s="10"/>
    </row>
    <row r="62">
      <c r="F62" s="5"/>
      <c r="H62" s="10"/>
    </row>
    <row r="63">
      <c r="F63" s="5"/>
      <c r="H63" s="10"/>
    </row>
    <row r="64">
      <c r="F64" s="5"/>
      <c r="H64" s="10"/>
    </row>
    <row r="65">
      <c r="F65" s="5"/>
      <c r="H65" s="10"/>
    </row>
    <row r="66">
      <c r="F66" s="5"/>
      <c r="H66" s="10"/>
    </row>
    <row r="67">
      <c r="F67" s="5"/>
      <c r="H67" s="10"/>
    </row>
    <row r="68">
      <c r="F68" s="5"/>
      <c r="H68" s="10"/>
    </row>
    <row r="69">
      <c r="F69" s="5"/>
      <c r="H69" s="10"/>
    </row>
    <row r="70">
      <c r="F70" s="5"/>
      <c r="H70" s="10"/>
    </row>
    <row r="71">
      <c r="F71" s="5"/>
      <c r="H71" s="10"/>
    </row>
    <row r="72">
      <c r="F72" s="5"/>
      <c r="H72" s="10"/>
    </row>
    <row r="73">
      <c r="F73" s="5"/>
      <c r="H73" s="10"/>
    </row>
    <row r="74">
      <c r="F74" s="5"/>
      <c r="H74" s="10"/>
    </row>
    <row r="75">
      <c r="F75" s="5"/>
      <c r="H75" s="10"/>
    </row>
    <row r="76">
      <c r="F76" s="5"/>
      <c r="H76" s="10"/>
    </row>
    <row r="77">
      <c r="F77" s="5"/>
      <c r="H77" s="10"/>
    </row>
    <row r="78">
      <c r="F78" s="5"/>
      <c r="H78" s="10"/>
    </row>
    <row r="79">
      <c r="F79" s="5"/>
      <c r="H79" s="10"/>
    </row>
    <row r="80">
      <c r="F80" s="5"/>
      <c r="H80" s="10"/>
    </row>
    <row r="81">
      <c r="F81" s="5"/>
      <c r="H81" s="10"/>
    </row>
    <row r="82">
      <c r="F82" s="5"/>
      <c r="H82" s="10"/>
    </row>
    <row r="83">
      <c r="F83" s="5"/>
      <c r="H83" s="10"/>
    </row>
    <row r="84">
      <c r="F84" s="5"/>
      <c r="H84" s="10"/>
    </row>
    <row r="85">
      <c r="F85" s="5"/>
      <c r="H85" s="10"/>
    </row>
    <row r="86">
      <c r="F86" s="5"/>
      <c r="H86" s="10"/>
    </row>
    <row r="87">
      <c r="F87" s="5"/>
      <c r="H87" s="10"/>
    </row>
    <row r="88">
      <c r="F88" s="5"/>
      <c r="H88" s="10"/>
    </row>
    <row r="89">
      <c r="F89" s="5"/>
      <c r="H89" s="10"/>
    </row>
    <row r="90">
      <c r="F90" s="5"/>
      <c r="H90" s="10"/>
    </row>
    <row r="91">
      <c r="F91" s="5"/>
      <c r="H91" s="10"/>
    </row>
    <row r="92">
      <c r="F92" s="5"/>
      <c r="H92" s="10"/>
    </row>
    <row r="93">
      <c r="F93" s="5"/>
      <c r="H93" s="10"/>
    </row>
    <row r="94">
      <c r="F94" s="5"/>
      <c r="H94" s="10"/>
    </row>
    <row r="95">
      <c r="F95" s="5"/>
      <c r="H95" s="10"/>
    </row>
    <row r="96">
      <c r="F96" s="5"/>
      <c r="H96" s="10"/>
    </row>
    <row r="97">
      <c r="F97" s="5"/>
      <c r="H97" s="10"/>
    </row>
    <row r="98">
      <c r="F98" s="5"/>
      <c r="H98" s="10"/>
    </row>
    <row r="99">
      <c r="F99" s="5"/>
      <c r="H99" s="10"/>
    </row>
    <row r="100">
      <c r="F100" s="5"/>
      <c r="H100" s="10"/>
    </row>
    <row r="101">
      <c r="F101" s="5"/>
      <c r="H101" s="10"/>
    </row>
    <row r="102">
      <c r="F102" s="5"/>
      <c r="H102" s="10"/>
    </row>
    <row r="103">
      <c r="F103" s="5"/>
      <c r="H103" s="10"/>
    </row>
    <row r="104">
      <c r="F104" s="5"/>
      <c r="H104" s="10"/>
    </row>
    <row r="105">
      <c r="F105" s="5"/>
      <c r="H105" s="10"/>
    </row>
    <row r="106">
      <c r="F106" s="5"/>
      <c r="H106" s="10"/>
    </row>
    <row r="107">
      <c r="F107" s="5"/>
      <c r="H107" s="10"/>
    </row>
    <row r="108">
      <c r="F108" s="5"/>
      <c r="H108" s="10"/>
    </row>
    <row r="109">
      <c r="F109" s="5"/>
      <c r="H109" s="10"/>
    </row>
    <row r="110">
      <c r="F110" s="5"/>
      <c r="H110" s="10"/>
    </row>
    <row r="111">
      <c r="F111" s="5"/>
      <c r="H111" s="10"/>
    </row>
    <row r="112">
      <c r="F112" s="5"/>
      <c r="H112" s="10"/>
    </row>
    <row r="113">
      <c r="F113" s="5"/>
      <c r="H113" s="10"/>
    </row>
    <row r="114">
      <c r="F114" s="5"/>
      <c r="H114" s="10"/>
    </row>
    <row r="115">
      <c r="F115" s="5"/>
      <c r="H115" s="10"/>
    </row>
    <row r="116">
      <c r="F116" s="5"/>
      <c r="H116" s="10"/>
    </row>
    <row r="117">
      <c r="F117" s="5"/>
      <c r="H117" s="10"/>
    </row>
    <row r="118">
      <c r="F118" s="5"/>
      <c r="H118" s="10"/>
    </row>
    <row r="119">
      <c r="F119" s="5"/>
      <c r="H119" s="10"/>
    </row>
    <row r="120">
      <c r="F120" s="5"/>
      <c r="H120" s="10"/>
    </row>
    <row r="121">
      <c r="F121" s="5"/>
      <c r="H121" s="10"/>
    </row>
    <row r="122">
      <c r="F122" s="5"/>
      <c r="H122" s="10"/>
    </row>
    <row r="123">
      <c r="F123" s="5"/>
      <c r="H123" s="10"/>
    </row>
    <row r="124">
      <c r="F124" s="5"/>
      <c r="H124" s="10"/>
    </row>
    <row r="125">
      <c r="F125" s="5"/>
      <c r="H125" s="10"/>
    </row>
    <row r="126">
      <c r="F126" s="5"/>
      <c r="H126" s="10"/>
    </row>
    <row r="127">
      <c r="F127" s="5"/>
      <c r="H127" s="10"/>
    </row>
    <row r="128">
      <c r="F128" s="5"/>
      <c r="H128" s="10"/>
    </row>
    <row r="129">
      <c r="F129" s="5"/>
      <c r="H129" s="10"/>
    </row>
    <row r="130">
      <c r="F130" s="5"/>
      <c r="H130" s="10"/>
    </row>
    <row r="131">
      <c r="F131" s="5"/>
      <c r="H131" s="10"/>
    </row>
    <row r="132">
      <c r="F132" s="5"/>
      <c r="H132" s="10"/>
    </row>
    <row r="133">
      <c r="F133" s="5"/>
      <c r="H133" s="10"/>
    </row>
    <row r="134">
      <c r="F134" s="5"/>
      <c r="H134" s="10"/>
    </row>
    <row r="135">
      <c r="F135" s="5"/>
      <c r="H135" s="10"/>
    </row>
    <row r="136">
      <c r="F136" s="5"/>
      <c r="H136" s="10"/>
    </row>
    <row r="137">
      <c r="F137" s="5"/>
      <c r="H137" s="10"/>
    </row>
    <row r="138">
      <c r="F138" s="5"/>
      <c r="H138" s="10"/>
    </row>
    <row r="139">
      <c r="F139" s="5"/>
      <c r="H139" s="10"/>
    </row>
    <row r="140">
      <c r="F140" s="5"/>
      <c r="H140" s="10"/>
    </row>
    <row r="141">
      <c r="F141" s="5"/>
      <c r="H141" s="10"/>
    </row>
    <row r="142">
      <c r="F142" s="5"/>
      <c r="H142" s="10"/>
    </row>
    <row r="143">
      <c r="F143" s="5"/>
      <c r="H143" s="10"/>
    </row>
    <row r="144">
      <c r="F144" s="5"/>
      <c r="H144" s="10"/>
    </row>
    <row r="145">
      <c r="F145" s="5"/>
      <c r="H145" s="10"/>
    </row>
    <row r="146">
      <c r="F146" s="5"/>
      <c r="H146" s="10"/>
    </row>
    <row r="147">
      <c r="F147" s="5"/>
      <c r="H147" s="10"/>
    </row>
    <row r="148">
      <c r="F148" s="5"/>
      <c r="H148" s="10"/>
    </row>
    <row r="149">
      <c r="F149" s="5"/>
      <c r="H149" s="10"/>
    </row>
    <row r="150">
      <c r="F150" s="5"/>
      <c r="H150" s="10"/>
    </row>
    <row r="151">
      <c r="F151" s="5"/>
      <c r="H151" s="10"/>
    </row>
    <row r="152">
      <c r="F152" s="5"/>
      <c r="H152" s="10"/>
    </row>
    <row r="153">
      <c r="F153" s="5"/>
      <c r="H153" s="10"/>
    </row>
    <row r="154">
      <c r="F154" s="5"/>
      <c r="H154" s="10"/>
    </row>
    <row r="155">
      <c r="F155" s="5"/>
      <c r="H155" s="10"/>
    </row>
    <row r="156">
      <c r="F156" s="5"/>
      <c r="H156" s="10"/>
    </row>
    <row r="157">
      <c r="F157" s="5"/>
      <c r="H157" s="10"/>
    </row>
    <row r="158">
      <c r="F158" s="5"/>
      <c r="H158" s="10"/>
    </row>
    <row r="159">
      <c r="F159" s="5"/>
      <c r="H159" s="10"/>
    </row>
    <row r="160">
      <c r="F160" s="5"/>
      <c r="H160" s="10"/>
    </row>
    <row r="161">
      <c r="F161" s="5"/>
      <c r="H161" s="10"/>
    </row>
    <row r="162">
      <c r="F162" s="5"/>
      <c r="H162" s="10"/>
    </row>
    <row r="163">
      <c r="F163" s="5"/>
      <c r="H163" s="10"/>
    </row>
    <row r="164">
      <c r="F164" s="5"/>
      <c r="H164" s="10"/>
    </row>
    <row r="165">
      <c r="F165" s="5"/>
      <c r="H165" s="10"/>
    </row>
    <row r="166">
      <c r="F166" s="5"/>
      <c r="H166" s="10"/>
    </row>
    <row r="167">
      <c r="F167" s="5"/>
      <c r="H167" s="10"/>
    </row>
    <row r="168">
      <c r="F168" s="5"/>
      <c r="H168" s="10"/>
    </row>
    <row r="169">
      <c r="F169" s="5"/>
      <c r="H169" s="10"/>
    </row>
    <row r="170">
      <c r="F170" s="5"/>
      <c r="H170" s="10"/>
    </row>
    <row r="171">
      <c r="F171" s="5"/>
      <c r="H171" s="10"/>
    </row>
    <row r="172">
      <c r="F172" s="5"/>
      <c r="H172" s="10"/>
    </row>
    <row r="173">
      <c r="F173" s="5"/>
      <c r="H173" s="10"/>
    </row>
    <row r="174">
      <c r="F174" s="5"/>
      <c r="H174" s="10"/>
    </row>
    <row r="175">
      <c r="F175" s="5"/>
      <c r="H175" s="10"/>
    </row>
    <row r="176">
      <c r="F176" s="5"/>
      <c r="H176" s="10"/>
    </row>
    <row r="177">
      <c r="F177" s="5"/>
      <c r="H177" s="10"/>
    </row>
    <row r="178">
      <c r="F178" s="5"/>
      <c r="H178" s="10"/>
    </row>
    <row r="179">
      <c r="F179" s="5"/>
      <c r="H179" s="10"/>
    </row>
    <row r="180">
      <c r="F180" s="5"/>
      <c r="H180" s="10"/>
    </row>
    <row r="181">
      <c r="F181" s="5"/>
      <c r="H181" s="10"/>
    </row>
    <row r="182">
      <c r="F182" s="5"/>
      <c r="H182" s="10"/>
    </row>
    <row r="183">
      <c r="F183" s="5"/>
      <c r="H183" s="10"/>
    </row>
    <row r="184">
      <c r="F184" s="5"/>
      <c r="H184" s="10"/>
    </row>
    <row r="185">
      <c r="F185" s="5"/>
      <c r="H185" s="10"/>
    </row>
    <row r="186">
      <c r="F186" s="5"/>
      <c r="H186" s="10"/>
    </row>
    <row r="187">
      <c r="F187" s="5"/>
      <c r="H187" s="10"/>
    </row>
    <row r="188">
      <c r="F188" s="5"/>
      <c r="H188" s="10"/>
    </row>
    <row r="189">
      <c r="F189" s="5"/>
      <c r="H189" s="10"/>
    </row>
    <row r="190">
      <c r="F190" s="5"/>
      <c r="H190" s="10"/>
    </row>
    <row r="191">
      <c r="F191" s="5"/>
      <c r="H191" s="10"/>
    </row>
    <row r="192">
      <c r="F192" s="5"/>
      <c r="H192" s="10"/>
    </row>
    <row r="193">
      <c r="F193" s="5"/>
      <c r="H193" s="10"/>
    </row>
    <row r="194">
      <c r="F194" s="5"/>
      <c r="H194" s="10"/>
    </row>
    <row r="195">
      <c r="F195" s="5"/>
      <c r="H195" s="10"/>
    </row>
    <row r="196">
      <c r="F196" s="5"/>
      <c r="H196" s="10"/>
    </row>
    <row r="197">
      <c r="F197" s="5"/>
      <c r="H197" s="10"/>
    </row>
    <row r="198">
      <c r="F198" s="5"/>
      <c r="H198" s="10"/>
    </row>
    <row r="199">
      <c r="F199" s="5"/>
      <c r="H199" s="10"/>
    </row>
    <row r="200">
      <c r="F200" s="5"/>
      <c r="H200" s="10"/>
    </row>
    <row r="201">
      <c r="F201" s="5"/>
      <c r="H201" s="10"/>
    </row>
    <row r="202">
      <c r="F202" s="5"/>
      <c r="H202" s="10"/>
    </row>
    <row r="203">
      <c r="F203" s="5"/>
      <c r="H203" s="10"/>
    </row>
    <row r="204">
      <c r="F204" s="5"/>
      <c r="H204" s="10"/>
    </row>
    <row r="205">
      <c r="F205" s="5"/>
      <c r="H205" s="10"/>
    </row>
    <row r="206">
      <c r="F206" s="5"/>
      <c r="H206" s="10"/>
    </row>
    <row r="207">
      <c r="F207" s="5"/>
      <c r="H207" s="10"/>
    </row>
    <row r="208">
      <c r="F208" s="5"/>
      <c r="H208" s="10"/>
    </row>
    <row r="209">
      <c r="F209" s="5"/>
      <c r="H209" s="10"/>
    </row>
    <row r="210">
      <c r="F210" s="5"/>
      <c r="H210" s="10"/>
    </row>
    <row r="211">
      <c r="F211" s="5"/>
      <c r="H211" s="10"/>
    </row>
    <row r="212">
      <c r="F212" s="5"/>
      <c r="H212" s="10"/>
    </row>
    <row r="213">
      <c r="F213" s="5"/>
      <c r="H213" s="10"/>
    </row>
    <row r="214">
      <c r="F214" s="5"/>
      <c r="H214" s="10"/>
    </row>
    <row r="215">
      <c r="F215" s="5"/>
      <c r="H215" s="10"/>
    </row>
    <row r="216">
      <c r="F216" s="5"/>
      <c r="H216" s="10"/>
    </row>
    <row r="217">
      <c r="F217" s="5"/>
      <c r="H217" s="10"/>
    </row>
    <row r="218">
      <c r="F218" s="5"/>
      <c r="H218" s="10"/>
    </row>
    <row r="219">
      <c r="F219" s="5"/>
      <c r="H219" s="10"/>
    </row>
    <row r="220">
      <c r="F220" s="5"/>
      <c r="H220" s="10"/>
    </row>
    <row r="221">
      <c r="F221" s="5"/>
      <c r="H221" s="10"/>
    </row>
    <row r="222">
      <c r="F222" s="5"/>
      <c r="H222" s="10"/>
    </row>
    <row r="223">
      <c r="F223" s="5"/>
      <c r="H223" s="10"/>
    </row>
    <row r="224">
      <c r="F224" s="5"/>
      <c r="H224" s="10"/>
    </row>
    <row r="225">
      <c r="F225" s="5"/>
      <c r="H225" s="10"/>
    </row>
    <row r="226">
      <c r="F226" s="5"/>
      <c r="H226" s="10"/>
    </row>
    <row r="227">
      <c r="F227" s="5"/>
      <c r="H227" s="10"/>
    </row>
    <row r="228">
      <c r="F228" s="5"/>
      <c r="H228" s="10"/>
    </row>
    <row r="229">
      <c r="F229" s="5"/>
      <c r="H229" s="10"/>
    </row>
    <row r="230">
      <c r="F230" s="5"/>
      <c r="H230" s="10"/>
    </row>
    <row r="231">
      <c r="F231" s="5"/>
      <c r="H231" s="10"/>
    </row>
    <row r="232">
      <c r="F232" s="5"/>
      <c r="H232" s="10"/>
    </row>
    <row r="233">
      <c r="F233" s="5"/>
      <c r="H233" s="10"/>
    </row>
    <row r="234">
      <c r="F234" s="5"/>
      <c r="H234" s="10"/>
    </row>
    <row r="235">
      <c r="F235" s="5"/>
      <c r="H235" s="10"/>
    </row>
    <row r="236">
      <c r="F236" s="5"/>
      <c r="H236" s="10"/>
    </row>
    <row r="237">
      <c r="F237" s="5"/>
      <c r="H237" s="10"/>
    </row>
    <row r="238">
      <c r="F238" s="5"/>
      <c r="H238" s="10"/>
    </row>
    <row r="239">
      <c r="F239" s="5"/>
      <c r="H239" s="10"/>
    </row>
    <row r="240">
      <c r="F240" s="5"/>
      <c r="H240" s="10"/>
    </row>
    <row r="241">
      <c r="F241" s="5"/>
      <c r="H241" s="10"/>
    </row>
    <row r="242">
      <c r="F242" s="5"/>
      <c r="H242" s="10"/>
    </row>
    <row r="243">
      <c r="F243" s="5"/>
      <c r="H243" s="10"/>
    </row>
    <row r="244">
      <c r="F244" s="5"/>
      <c r="H244" s="10"/>
    </row>
    <row r="245">
      <c r="F245" s="5"/>
      <c r="H245" s="10"/>
    </row>
    <row r="246">
      <c r="F246" s="5"/>
      <c r="H246" s="10"/>
    </row>
    <row r="247">
      <c r="F247" s="5"/>
      <c r="H247" s="10"/>
    </row>
    <row r="248">
      <c r="F248" s="5"/>
      <c r="H248" s="10"/>
    </row>
    <row r="249">
      <c r="F249" s="5"/>
      <c r="H249" s="10"/>
    </row>
    <row r="250">
      <c r="F250" s="5"/>
      <c r="H250" s="10"/>
    </row>
    <row r="251">
      <c r="F251" s="5"/>
      <c r="H251" s="10"/>
    </row>
    <row r="252">
      <c r="F252" s="5"/>
      <c r="H252" s="10"/>
    </row>
    <row r="253">
      <c r="F253" s="5"/>
      <c r="H253" s="10"/>
    </row>
    <row r="254">
      <c r="F254" s="5"/>
      <c r="H254" s="10"/>
    </row>
    <row r="255">
      <c r="F255" s="5"/>
      <c r="H255" s="10"/>
    </row>
    <row r="256">
      <c r="F256" s="5"/>
      <c r="H256" s="10"/>
    </row>
    <row r="257">
      <c r="F257" s="5"/>
      <c r="H257" s="10"/>
    </row>
    <row r="258">
      <c r="F258" s="5"/>
      <c r="H258" s="10"/>
    </row>
    <row r="259">
      <c r="F259" s="5"/>
      <c r="H259" s="10"/>
    </row>
    <row r="260">
      <c r="F260" s="5"/>
      <c r="H260" s="10"/>
    </row>
    <row r="261">
      <c r="F261" s="5"/>
      <c r="H261" s="10"/>
    </row>
    <row r="262">
      <c r="F262" s="5"/>
      <c r="H262" s="10"/>
    </row>
    <row r="263">
      <c r="F263" s="5"/>
      <c r="H263" s="10"/>
    </row>
    <row r="264">
      <c r="F264" s="5"/>
      <c r="H264" s="10"/>
    </row>
    <row r="265">
      <c r="F265" s="5"/>
      <c r="H265" s="10"/>
    </row>
    <row r="266">
      <c r="F266" s="5"/>
      <c r="H266" s="10"/>
    </row>
    <row r="267">
      <c r="F267" s="5"/>
      <c r="H267" s="10"/>
    </row>
    <row r="268">
      <c r="F268" s="5"/>
      <c r="H268" s="10"/>
    </row>
    <row r="269">
      <c r="F269" s="5"/>
      <c r="H269" s="10"/>
    </row>
    <row r="270">
      <c r="F270" s="5"/>
      <c r="H270" s="10"/>
    </row>
    <row r="271">
      <c r="F271" s="5"/>
      <c r="H271" s="10"/>
    </row>
    <row r="272">
      <c r="F272" s="5"/>
      <c r="H272" s="10"/>
    </row>
    <row r="273">
      <c r="F273" s="5"/>
      <c r="H273" s="10"/>
    </row>
    <row r="274">
      <c r="F274" s="5"/>
      <c r="H274" s="10"/>
    </row>
    <row r="275">
      <c r="F275" s="5"/>
      <c r="H275" s="10"/>
    </row>
    <row r="276">
      <c r="F276" s="5"/>
      <c r="H276" s="10"/>
    </row>
    <row r="277">
      <c r="F277" s="5"/>
      <c r="H277" s="10"/>
    </row>
    <row r="278">
      <c r="F278" s="5"/>
      <c r="H278" s="10"/>
    </row>
    <row r="279">
      <c r="F279" s="5"/>
      <c r="H279" s="10"/>
    </row>
    <row r="280">
      <c r="F280" s="5"/>
      <c r="H280" s="10"/>
    </row>
    <row r="281">
      <c r="F281" s="5"/>
      <c r="H281" s="10"/>
    </row>
    <row r="282">
      <c r="F282" s="5"/>
      <c r="H282" s="10"/>
    </row>
    <row r="283">
      <c r="F283" s="5"/>
      <c r="H283" s="10"/>
    </row>
    <row r="284">
      <c r="F284" s="5"/>
      <c r="H284" s="10"/>
    </row>
    <row r="285">
      <c r="F285" s="5"/>
      <c r="H285" s="10"/>
    </row>
    <row r="286">
      <c r="F286" s="5"/>
      <c r="H286" s="10"/>
    </row>
    <row r="287">
      <c r="F287" s="5"/>
      <c r="H287" s="10"/>
    </row>
    <row r="288">
      <c r="F288" s="5"/>
      <c r="H288" s="10"/>
    </row>
    <row r="289">
      <c r="F289" s="5"/>
      <c r="H289" s="10"/>
    </row>
    <row r="290">
      <c r="F290" s="5"/>
      <c r="H290" s="10"/>
    </row>
    <row r="291">
      <c r="F291" s="5"/>
      <c r="H291" s="10"/>
    </row>
    <row r="292">
      <c r="F292" s="5"/>
      <c r="H292" s="10"/>
    </row>
    <row r="293">
      <c r="F293" s="5"/>
      <c r="H293" s="10"/>
    </row>
    <row r="294">
      <c r="F294" s="5"/>
      <c r="H294" s="10"/>
    </row>
    <row r="295">
      <c r="F295" s="5"/>
      <c r="H295" s="10"/>
    </row>
    <row r="296">
      <c r="F296" s="5"/>
      <c r="H296" s="10"/>
    </row>
    <row r="297">
      <c r="F297" s="5"/>
      <c r="H297" s="10"/>
    </row>
    <row r="298">
      <c r="F298" s="5"/>
      <c r="H298" s="10"/>
    </row>
    <row r="299">
      <c r="F299" s="5"/>
      <c r="H299" s="10"/>
    </row>
    <row r="300">
      <c r="F300" s="5"/>
      <c r="H300" s="10"/>
    </row>
    <row r="301">
      <c r="F301" s="5"/>
      <c r="H301" s="10"/>
    </row>
    <row r="302">
      <c r="F302" s="5"/>
      <c r="H302" s="10"/>
    </row>
    <row r="303">
      <c r="F303" s="5"/>
      <c r="H303" s="10"/>
    </row>
    <row r="304">
      <c r="F304" s="5"/>
      <c r="H304" s="10"/>
    </row>
    <row r="305">
      <c r="F305" s="5"/>
      <c r="H305" s="10"/>
    </row>
    <row r="306">
      <c r="F306" s="5"/>
      <c r="H306" s="10"/>
    </row>
    <row r="307">
      <c r="F307" s="5"/>
      <c r="H307" s="10"/>
    </row>
    <row r="308">
      <c r="F308" s="5"/>
      <c r="H308" s="10"/>
    </row>
    <row r="309">
      <c r="F309" s="5"/>
      <c r="H309" s="10"/>
    </row>
    <row r="310">
      <c r="F310" s="5"/>
      <c r="H310" s="10"/>
    </row>
    <row r="311">
      <c r="F311" s="5"/>
      <c r="H311" s="10"/>
    </row>
    <row r="312">
      <c r="F312" s="5"/>
      <c r="H312" s="10"/>
    </row>
    <row r="313">
      <c r="F313" s="5"/>
      <c r="H313" s="10"/>
    </row>
    <row r="314">
      <c r="F314" s="5"/>
      <c r="H314" s="10"/>
    </row>
    <row r="315">
      <c r="F315" s="5"/>
      <c r="H315" s="10"/>
    </row>
    <row r="316">
      <c r="F316" s="5"/>
      <c r="H316" s="10"/>
    </row>
    <row r="317">
      <c r="F317" s="5"/>
      <c r="H317" s="10"/>
    </row>
    <row r="318">
      <c r="F318" s="5"/>
      <c r="H318" s="10"/>
    </row>
    <row r="319">
      <c r="F319" s="5"/>
      <c r="H319" s="10"/>
    </row>
    <row r="320">
      <c r="F320" s="5"/>
      <c r="H320" s="10"/>
    </row>
    <row r="321">
      <c r="F321" s="5"/>
      <c r="H321" s="10"/>
    </row>
    <row r="322">
      <c r="F322" s="5"/>
      <c r="H322" s="10"/>
    </row>
    <row r="323">
      <c r="F323" s="5"/>
      <c r="H323" s="10"/>
    </row>
    <row r="324">
      <c r="F324" s="5"/>
      <c r="H324" s="10"/>
    </row>
    <row r="325">
      <c r="F325" s="5"/>
      <c r="H325" s="10"/>
    </row>
    <row r="326">
      <c r="F326" s="5"/>
      <c r="H326" s="10"/>
    </row>
    <row r="327">
      <c r="F327" s="5"/>
      <c r="H327" s="10"/>
    </row>
    <row r="328">
      <c r="F328" s="5"/>
      <c r="H328" s="10"/>
    </row>
    <row r="329">
      <c r="F329" s="5"/>
      <c r="H329" s="10"/>
    </row>
    <row r="330">
      <c r="F330" s="5"/>
      <c r="H330" s="10"/>
    </row>
    <row r="331">
      <c r="F331" s="5"/>
      <c r="H331" s="10"/>
    </row>
    <row r="332">
      <c r="F332" s="5"/>
      <c r="H332" s="10"/>
    </row>
    <row r="333">
      <c r="F333" s="5"/>
      <c r="H333" s="10"/>
    </row>
    <row r="334">
      <c r="F334" s="5"/>
      <c r="H334" s="10"/>
    </row>
    <row r="335">
      <c r="F335" s="5"/>
      <c r="H335" s="10"/>
    </row>
    <row r="336">
      <c r="F336" s="5"/>
      <c r="H336" s="10"/>
    </row>
    <row r="337">
      <c r="F337" s="5"/>
      <c r="H337" s="10"/>
    </row>
    <row r="338">
      <c r="F338" s="5"/>
      <c r="H338" s="10"/>
    </row>
    <row r="339">
      <c r="F339" s="5"/>
      <c r="H339" s="10"/>
    </row>
    <row r="340">
      <c r="F340" s="5"/>
      <c r="H340" s="10"/>
    </row>
    <row r="341">
      <c r="F341" s="5"/>
      <c r="H341" s="10"/>
    </row>
    <row r="342">
      <c r="F342" s="5"/>
      <c r="H342" s="10"/>
    </row>
    <row r="343">
      <c r="F343" s="5"/>
      <c r="H343" s="10"/>
    </row>
    <row r="344">
      <c r="F344" s="5"/>
      <c r="H344" s="10"/>
    </row>
    <row r="345">
      <c r="F345" s="5"/>
      <c r="H345" s="10"/>
    </row>
    <row r="346">
      <c r="F346" s="5"/>
      <c r="H346" s="10"/>
    </row>
    <row r="347">
      <c r="F347" s="5"/>
      <c r="H347" s="10"/>
    </row>
    <row r="348">
      <c r="F348" s="5"/>
      <c r="H348" s="10"/>
    </row>
    <row r="349">
      <c r="F349" s="5"/>
      <c r="H349" s="10"/>
    </row>
    <row r="350">
      <c r="F350" s="5"/>
      <c r="H350" s="10"/>
    </row>
    <row r="351">
      <c r="F351" s="5"/>
      <c r="H351" s="10"/>
    </row>
    <row r="352">
      <c r="F352" s="5"/>
      <c r="H352" s="10"/>
    </row>
    <row r="353">
      <c r="F353" s="5"/>
      <c r="H353" s="10"/>
    </row>
    <row r="354">
      <c r="F354" s="5"/>
      <c r="H354" s="10"/>
    </row>
    <row r="355">
      <c r="F355" s="5"/>
      <c r="H355" s="10"/>
    </row>
    <row r="356">
      <c r="F356" s="5"/>
      <c r="H356" s="10"/>
    </row>
    <row r="357">
      <c r="F357" s="5"/>
      <c r="H357" s="10"/>
    </row>
    <row r="358">
      <c r="F358" s="5"/>
      <c r="H358" s="10"/>
    </row>
    <row r="359">
      <c r="F359" s="5"/>
      <c r="H359" s="10"/>
    </row>
    <row r="360">
      <c r="F360" s="5"/>
      <c r="H360" s="10"/>
    </row>
    <row r="361">
      <c r="F361" s="5"/>
      <c r="H361" s="10"/>
    </row>
    <row r="362">
      <c r="F362" s="5"/>
      <c r="H362" s="10"/>
    </row>
    <row r="363">
      <c r="F363" s="5"/>
      <c r="H363" s="10"/>
    </row>
    <row r="364">
      <c r="F364" s="5"/>
      <c r="H364" s="10"/>
    </row>
    <row r="365">
      <c r="F365" s="5"/>
      <c r="H365" s="10"/>
    </row>
    <row r="366">
      <c r="F366" s="5"/>
      <c r="H366" s="10"/>
    </row>
    <row r="367">
      <c r="F367" s="5"/>
      <c r="H367" s="10"/>
    </row>
    <row r="368">
      <c r="F368" s="5"/>
      <c r="H368" s="10"/>
    </row>
    <row r="369">
      <c r="F369" s="5"/>
      <c r="H369" s="10"/>
    </row>
    <row r="370">
      <c r="F370" s="5"/>
      <c r="H370" s="10"/>
    </row>
    <row r="371">
      <c r="F371" s="5"/>
      <c r="H371" s="10"/>
    </row>
    <row r="372">
      <c r="F372" s="5"/>
      <c r="H372" s="10"/>
    </row>
    <row r="373">
      <c r="F373" s="5"/>
      <c r="H373" s="10"/>
    </row>
    <row r="374">
      <c r="F374" s="5"/>
      <c r="H374" s="10"/>
    </row>
    <row r="375">
      <c r="F375" s="5"/>
      <c r="H375" s="10"/>
    </row>
    <row r="376">
      <c r="F376" s="5"/>
      <c r="H376" s="10"/>
    </row>
    <row r="377">
      <c r="F377" s="5"/>
      <c r="H377" s="10"/>
    </row>
    <row r="378">
      <c r="F378" s="5"/>
      <c r="H378" s="10"/>
    </row>
    <row r="379">
      <c r="F379" s="5"/>
      <c r="H379" s="10"/>
    </row>
    <row r="380">
      <c r="F380" s="5"/>
      <c r="H380" s="10"/>
    </row>
    <row r="381">
      <c r="F381" s="5"/>
      <c r="H381" s="10"/>
    </row>
    <row r="382">
      <c r="F382" s="5"/>
      <c r="H382" s="10"/>
    </row>
    <row r="383">
      <c r="F383" s="5"/>
      <c r="H383" s="10"/>
    </row>
    <row r="384">
      <c r="F384" s="5"/>
      <c r="H384" s="10"/>
    </row>
    <row r="385">
      <c r="F385" s="5"/>
      <c r="H385" s="10"/>
    </row>
    <row r="386">
      <c r="F386" s="5"/>
      <c r="H386" s="10"/>
    </row>
    <row r="387">
      <c r="F387" s="5"/>
      <c r="H387" s="10"/>
    </row>
    <row r="388">
      <c r="F388" s="5"/>
      <c r="H388" s="10"/>
    </row>
    <row r="389">
      <c r="F389" s="5"/>
      <c r="H389" s="10"/>
    </row>
    <row r="390">
      <c r="F390" s="5"/>
      <c r="H390" s="10"/>
    </row>
    <row r="391">
      <c r="F391" s="5"/>
      <c r="H391" s="10"/>
    </row>
    <row r="392">
      <c r="F392" s="5"/>
      <c r="H392" s="10"/>
    </row>
    <row r="393">
      <c r="F393" s="5"/>
      <c r="H393" s="10"/>
    </row>
    <row r="394">
      <c r="F394" s="5"/>
      <c r="H394" s="10"/>
    </row>
    <row r="395">
      <c r="F395" s="5"/>
      <c r="H395" s="10"/>
    </row>
    <row r="396">
      <c r="F396" s="5"/>
      <c r="H396" s="10"/>
    </row>
    <row r="397">
      <c r="F397" s="5"/>
      <c r="H397" s="10"/>
    </row>
    <row r="398">
      <c r="F398" s="5"/>
      <c r="H398" s="10"/>
    </row>
    <row r="399">
      <c r="F399" s="5"/>
      <c r="H399" s="10"/>
    </row>
    <row r="400">
      <c r="F400" s="5"/>
      <c r="H400" s="10"/>
    </row>
    <row r="401">
      <c r="F401" s="5"/>
      <c r="H401" s="10"/>
    </row>
    <row r="402">
      <c r="F402" s="5"/>
      <c r="H402" s="10"/>
    </row>
    <row r="403">
      <c r="F403" s="5"/>
      <c r="H403" s="10"/>
    </row>
    <row r="404">
      <c r="F404" s="5"/>
      <c r="H404" s="10"/>
    </row>
    <row r="405">
      <c r="F405" s="5"/>
      <c r="H405" s="10"/>
    </row>
    <row r="406">
      <c r="F406" s="5"/>
      <c r="H406" s="10"/>
    </row>
    <row r="407">
      <c r="F407" s="5"/>
      <c r="H407" s="10"/>
    </row>
    <row r="408">
      <c r="F408" s="5"/>
      <c r="H408" s="10"/>
    </row>
    <row r="409">
      <c r="F409" s="5"/>
      <c r="H409" s="10"/>
    </row>
    <row r="410">
      <c r="F410" s="5"/>
      <c r="H410" s="10"/>
    </row>
    <row r="411">
      <c r="F411" s="5"/>
      <c r="H411" s="10"/>
    </row>
    <row r="412">
      <c r="F412" s="5"/>
      <c r="H412" s="10"/>
    </row>
    <row r="413">
      <c r="F413" s="5"/>
      <c r="H413" s="10"/>
    </row>
    <row r="414">
      <c r="F414" s="5"/>
      <c r="H414" s="10"/>
    </row>
    <row r="415">
      <c r="F415" s="5"/>
      <c r="H415" s="10"/>
    </row>
    <row r="416">
      <c r="F416" s="5"/>
      <c r="H416" s="10"/>
    </row>
    <row r="417">
      <c r="F417" s="5"/>
      <c r="H417" s="10"/>
    </row>
    <row r="418">
      <c r="F418" s="5"/>
      <c r="H418" s="10"/>
    </row>
    <row r="419">
      <c r="F419" s="5"/>
      <c r="H419" s="10"/>
    </row>
    <row r="420">
      <c r="F420" s="5"/>
      <c r="H420" s="10"/>
    </row>
    <row r="421">
      <c r="F421" s="5"/>
      <c r="H421" s="10"/>
    </row>
    <row r="422">
      <c r="F422" s="5"/>
      <c r="H422" s="10"/>
    </row>
    <row r="423">
      <c r="F423" s="5"/>
      <c r="H423" s="10"/>
    </row>
    <row r="424">
      <c r="F424" s="5"/>
      <c r="H424" s="10"/>
    </row>
    <row r="425">
      <c r="F425" s="5"/>
      <c r="H425" s="10"/>
    </row>
    <row r="426">
      <c r="F426" s="5"/>
      <c r="H426" s="10"/>
    </row>
    <row r="427">
      <c r="F427" s="5"/>
      <c r="H427" s="10"/>
    </row>
    <row r="428">
      <c r="F428" s="5"/>
      <c r="H428" s="10"/>
    </row>
    <row r="429">
      <c r="F429" s="5"/>
      <c r="H429" s="10"/>
    </row>
    <row r="430">
      <c r="F430" s="5"/>
      <c r="H430" s="10"/>
    </row>
    <row r="431">
      <c r="F431" s="5"/>
      <c r="H431" s="10"/>
    </row>
    <row r="432">
      <c r="F432" s="5"/>
      <c r="H432" s="10"/>
    </row>
    <row r="433">
      <c r="F433" s="5"/>
      <c r="H433" s="10"/>
    </row>
    <row r="434">
      <c r="F434" s="5"/>
      <c r="H434" s="10"/>
    </row>
    <row r="435">
      <c r="F435" s="5"/>
      <c r="H435" s="10"/>
    </row>
    <row r="436">
      <c r="F436" s="5"/>
      <c r="H436" s="10"/>
    </row>
    <row r="437">
      <c r="F437" s="5"/>
      <c r="H437" s="10"/>
    </row>
    <row r="438">
      <c r="F438" s="5"/>
      <c r="H438" s="10"/>
    </row>
    <row r="439">
      <c r="F439" s="5"/>
      <c r="H439" s="10"/>
    </row>
    <row r="440">
      <c r="F440" s="5"/>
      <c r="H440" s="10"/>
    </row>
    <row r="441">
      <c r="F441" s="5"/>
      <c r="H441" s="10"/>
    </row>
    <row r="442">
      <c r="F442" s="5"/>
      <c r="H442" s="10"/>
    </row>
    <row r="443">
      <c r="F443" s="5"/>
      <c r="H443" s="10"/>
    </row>
    <row r="444">
      <c r="F444" s="5"/>
      <c r="H444" s="10"/>
    </row>
    <row r="445">
      <c r="F445" s="5"/>
      <c r="H445" s="10"/>
    </row>
    <row r="446">
      <c r="F446" s="5"/>
      <c r="H446" s="10"/>
    </row>
    <row r="447">
      <c r="F447" s="5"/>
      <c r="H447" s="10"/>
    </row>
    <row r="448">
      <c r="F448" s="5"/>
      <c r="H448" s="10"/>
    </row>
    <row r="449">
      <c r="F449" s="5"/>
      <c r="H449" s="10"/>
    </row>
    <row r="450">
      <c r="F450" s="5"/>
      <c r="H450" s="10"/>
    </row>
    <row r="451">
      <c r="F451" s="5"/>
      <c r="H451" s="10"/>
    </row>
    <row r="452">
      <c r="F452" s="5"/>
      <c r="H452" s="10"/>
    </row>
    <row r="453">
      <c r="F453" s="5"/>
      <c r="H453" s="10"/>
    </row>
    <row r="454">
      <c r="F454" s="5"/>
      <c r="H454" s="10"/>
    </row>
    <row r="455">
      <c r="F455" s="5"/>
      <c r="H455" s="10"/>
    </row>
    <row r="456">
      <c r="F456" s="5"/>
      <c r="H456" s="10"/>
    </row>
    <row r="457">
      <c r="F457" s="5"/>
      <c r="H457" s="10"/>
    </row>
    <row r="458">
      <c r="F458" s="5"/>
      <c r="H458" s="10"/>
    </row>
    <row r="459">
      <c r="F459" s="5"/>
      <c r="H459" s="10"/>
    </row>
    <row r="460">
      <c r="F460" s="5"/>
      <c r="H460" s="10"/>
    </row>
    <row r="461">
      <c r="F461" s="5"/>
      <c r="H461" s="10"/>
    </row>
    <row r="462">
      <c r="F462" s="5"/>
      <c r="H462" s="10"/>
    </row>
    <row r="463">
      <c r="F463" s="5"/>
      <c r="H463" s="10"/>
    </row>
    <row r="464">
      <c r="F464" s="5"/>
      <c r="H464" s="10"/>
    </row>
    <row r="465">
      <c r="F465" s="5"/>
      <c r="H465" s="10"/>
    </row>
    <row r="466">
      <c r="F466" s="5"/>
      <c r="H466" s="10"/>
    </row>
    <row r="467">
      <c r="F467" s="5"/>
      <c r="H467" s="10"/>
    </row>
    <row r="468">
      <c r="F468" s="5"/>
      <c r="H468" s="10"/>
    </row>
    <row r="469">
      <c r="F469" s="5"/>
      <c r="H469" s="10"/>
    </row>
    <row r="470">
      <c r="F470" s="5"/>
      <c r="H470" s="10"/>
    </row>
    <row r="471">
      <c r="F471" s="5"/>
      <c r="H471" s="10"/>
    </row>
    <row r="472">
      <c r="F472" s="5"/>
      <c r="H472" s="10"/>
    </row>
    <row r="473">
      <c r="F473" s="5"/>
      <c r="H473" s="10"/>
    </row>
    <row r="474">
      <c r="F474" s="5"/>
      <c r="H474" s="10"/>
    </row>
    <row r="475">
      <c r="F475" s="5"/>
      <c r="H475" s="10"/>
    </row>
    <row r="476">
      <c r="F476" s="5"/>
      <c r="H476" s="10"/>
    </row>
    <row r="477">
      <c r="F477" s="5"/>
      <c r="H477" s="10"/>
    </row>
    <row r="478">
      <c r="F478" s="5"/>
      <c r="H478" s="10"/>
    </row>
    <row r="479">
      <c r="F479" s="5"/>
      <c r="H479" s="10"/>
    </row>
    <row r="480">
      <c r="F480" s="5"/>
      <c r="H480" s="10"/>
    </row>
    <row r="481">
      <c r="F481" s="5"/>
      <c r="H481" s="10"/>
    </row>
    <row r="482">
      <c r="F482" s="5"/>
      <c r="H482" s="10"/>
    </row>
    <row r="483">
      <c r="F483" s="5"/>
      <c r="H483" s="10"/>
    </row>
    <row r="484">
      <c r="F484" s="5"/>
      <c r="H484" s="10"/>
    </row>
    <row r="485">
      <c r="F485" s="5"/>
      <c r="H485" s="10"/>
    </row>
    <row r="486">
      <c r="F486" s="5"/>
      <c r="H486" s="10"/>
    </row>
    <row r="487">
      <c r="F487" s="5"/>
      <c r="H487" s="10"/>
    </row>
    <row r="488">
      <c r="F488" s="5"/>
      <c r="H488" s="10"/>
    </row>
    <row r="489">
      <c r="F489" s="5"/>
      <c r="H489" s="10"/>
    </row>
    <row r="490">
      <c r="F490" s="5"/>
      <c r="H490" s="10"/>
    </row>
    <row r="491">
      <c r="F491" s="5"/>
      <c r="H491" s="10"/>
    </row>
    <row r="492">
      <c r="F492" s="5"/>
      <c r="H492" s="10"/>
    </row>
    <row r="493">
      <c r="F493" s="5"/>
      <c r="H493" s="10"/>
    </row>
    <row r="494">
      <c r="F494" s="5"/>
      <c r="H494" s="10"/>
    </row>
    <row r="495">
      <c r="F495" s="5"/>
      <c r="H495" s="10"/>
    </row>
    <row r="496">
      <c r="F496" s="5"/>
      <c r="H496" s="10"/>
    </row>
    <row r="497">
      <c r="F497" s="5"/>
      <c r="H497" s="10"/>
    </row>
    <row r="498">
      <c r="F498" s="5"/>
      <c r="H498" s="10"/>
    </row>
    <row r="499">
      <c r="F499" s="5"/>
      <c r="H499" s="10"/>
    </row>
    <row r="500">
      <c r="F500" s="5"/>
      <c r="H500" s="10"/>
    </row>
    <row r="501">
      <c r="F501" s="5"/>
      <c r="H501" s="10"/>
    </row>
    <row r="502">
      <c r="F502" s="5"/>
      <c r="H502" s="10"/>
    </row>
    <row r="503">
      <c r="F503" s="5"/>
      <c r="H503" s="10"/>
    </row>
    <row r="504">
      <c r="F504" s="5"/>
      <c r="H504" s="10"/>
    </row>
    <row r="505">
      <c r="F505" s="5"/>
      <c r="H505" s="10"/>
    </row>
    <row r="506">
      <c r="F506" s="5"/>
      <c r="H506" s="10"/>
    </row>
    <row r="507">
      <c r="F507" s="5"/>
      <c r="H507" s="10"/>
    </row>
    <row r="508">
      <c r="F508" s="5"/>
      <c r="H508" s="10"/>
    </row>
    <row r="509">
      <c r="F509" s="5"/>
      <c r="H509" s="10"/>
    </row>
    <row r="510">
      <c r="F510" s="5"/>
      <c r="H510" s="10"/>
    </row>
    <row r="511">
      <c r="F511" s="5"/>
      <c r="H511" s="10"/>
    </row>
    <row r="512">
      <c r="F512" s="5"/>
      <c r="H512" s="10"/>
    </row>
    <row r="513">
      <c r="F513" s="5"/>
      <c r="H513" s="10"/>
    </row>
    <row r="514">
      <c r="F514" s="5"/>
      <c r="H514" s="10"/>
    </row>
    <row r="515">
      <c r="F515" s="5"/>
      <c r="H515" s="10"/>
    </row>
    <row r="516">
      <c r="F516" s="5"/>
      <c r="H516" s="10"/>
    </row>
    <row r="517">
      <c r="F517" s="5"/>
      <c r="H517" s="10"/>
    </row>
    <row r="518">
      <c r="F518" s="5"/>
      <c r="H518" s="10"/>
    </row>
    <row r="519">
      <c r="F519" s="5"/>
      <c r="H519" s="10"/>
    </row>
    <row r="520">
      <c r="F520" s="5"/>
      <c r="H520" s="10"/>
    </row>
    <row r="521">
      <c r="F521" s="5"/>
      <c r="H521" s="10"/>
    </row>
    <row r="522">
      <c r="F522" s="5"/>
      <c r="H522" s="10"/>
    </row>
    <row r="523">
      <c r="F523" s="5"/>
      <c r="H523" s="10"/>
    </row>
    <row r="524">
      <c r="F524" s="5"/>
      <c r="H524" s="10"/>
    </row>
    <row r="525">
      <c r="F525" s="5"/>
      <c r="H525" s="10"/>
    </row>
    <row r="526">
      <c r="F526" s="5"/>
      <c r="H526" s="10"/>
    </row>
    <row r="527">
      <c r="F527" s="5"/>
      <c r="H527" s="10"/>
    </row>
    <row r="528">
      <c r="F528" s="5"/>
      <c r="H528" s="10"/>
    </row>
    <row r="529">
      <c r="F529" s="5"/>
      <c r="H529" s="10"/>
    </row>
    <row r="530">
      <c r="F530" s="5"/>
      <c r="H530" s="10"/>
    </row>
    <row r="531">
      <c r="F531" s="5"/>
      <c r="H531" s="10"/>
    </row>
    <row r="532">
      <c r="F532" s="5"/>
      <c r="H532" s="10"/>
    </row>
    <row r="533">
      <c r="F533" s="5"/>
      <c r="H533" s="10"/>
    </row>
    <row r="534">
      <c r="F534" s="5"/>
      <c r="H534" s="10"/>
    </row>
    <row r="535">
      <c r="F535" s="5"/>
      <c r="H535" s="10"/>
    </row>
    <row r="536">
      <c r="F536" s="5"/>
      <c r="H536" s="10"/>
    </row>
    <row r="537">
      <c r="F537" s="5"/>
      <c r="H537" s="10"/>
    </row>
    <row r="538">
      <c r="F538" s="5"/>
      <c r="H538" s="10"/>
    </row>
    <row r="539">
      <c r="F539" s="5"/>
      <c r="H539" s="10"/>
    </row>
    <row r="540">
      <c r="F540" s="5"/>
      <c r="H540" s="10"/>
    </row>
    <row r="541">
      <c r="F541" s="5"/>
      <c r="H541" s="10"/>
    </row>
    <row r="542">
      <c r="F542" s="5"/>
      <c r="H542" s="10"/>
    </row>
    <row r="543">
      <c r="F543" s="5"/>
      <c r="H543" s="10"/>
    </row>
    <row r="544">
      <c r="F544" s="5"/>
      <c r="H544" s="10"/>
    </row>
    <row r="545">
      <c r="F545" s="5"/>
      <c r="H545" s="10"/>
    </row>
    <row r="546">
      <c r="F546" s="5"/>
      <c r="H546" s="10"/>
    </row>
    <row r="547">
      <c r="F547" s="5"/>
      <c r="H547" s="10"/>
    </row>
    <row r="548">
      <c r="F548" s="5"/>
      <c r="H548" s="10"/>
    </row>
    <row r="549">
      <c r="F549" s="5"/>
      <c r="H549" s="10"/>
    </row>
    <row r="550">
      <c r="F550" s="5"/>
      <c r="H550" s="10"/>
    </row>
    <row r="551">
      <c r="F551" s="5"/>
      <c r="H551" s="10"/>
    </row>
    <row r="552">
      <c r="F552" s="5"/>
      <c r="H552" s="10"/>
    </row>
    <row r="553">
      <c r="F553" s="5"/>
      <c r="H553" s="10"/>
    </row>
    <row r="554">
      <c r="F554" s="5"/>
      <c r="H554" s="10"/>
    </row>
    <row r="555">
      <c r="F555" s="5"/>
      <c r="H555" s="10"/>
    </row>
    <row r="556">
      <c r="F556" s="5"/>
      <c r="H556" s="10"/>
    </row>
    <row r="557">
      <c r="F557" s="5"/>
      <c r="H557" s="10"/>
    </row>
    <row r="558">
      <c r="F558" s="5"/>
      <c r="H558" s="10"/>
    </row>
    <row r="559">
      <c r="F559" s="5"/>
      <c r="H559" s="10"/>
    </row>
    <row r="560">
      <c r="F560" s="5"/>
      <c r="H560" s="10"/>
    </row>
    <row r="561">
      <c r="F561" s="5"/>
      <c r="H561" s="10"/>
    </row>
    <row r="562">
      <c r="F562" s="5"/>
      <c r="H562" s="10"/>
    </row>
    <row r="563">
      <c r="F563" s="5"/>
      <c r="H563" s="10"/>
    </row>
    <row r="564">
      <c r="F564" s="5"/>
      <c r="H564" s="10"/>
    </row>
    <row r="565">
      <c r="F565" s="5"/>
      <c r="H565" s="10"/>
    </row>
    <row r="566">
      <c r="F566" s="5"/>
      <c r="H566" s="10"/>
    </row>
    <row r="567">
      <c r="F567" s="5"/>
      <c r="H567" s="10"/>
    </row>
    <row r="568">
      <c r="F568" s="5"/>
      <c r="H568" s="10"/>
    </row>
    <row r="569">
      <c r="F569" s="5"/>
      <c r="H569" s="10"/>
    </row>
    <row r="570">
      <c r="F570" s="5"/>
      <c r="H570" s="10"/>
    </row>
    <row r="571">
      <c r="F571" s="5"/>
      <c r="H571" s="10"/>
    </row>
    <row r="572">
      <c r="F572" s="5"/>
      <c r="H572" s="10"/>
    </row>
    <row r="573">
      <c r="F573" s="5"/>
      <c r="H573" s="10"/>
    </row>
    <row r="574">
      <c r="F574" s="5"/>
      <c r="H574" s="10"/>
    </row>
    <row r="575">
      <c r="F575" s="5"/>
      <c r="H575" s="10"/>
    </row>
    <row r="576">
      <c r="F576" s="5"/>
      <c r="H576" s="10"/>
    </row>
    <row r="577">
      <c r="F577" s="5"/>
      <c r="H577" s="10"/>
    </row>
    <row r="578">
      <c r="F578" s="5"/>
      <c r="H578" s="10"/>
    </row>
    <row r="579">
      <c r="F579" s="5"/>
      <c r="H579" s="10"/>
    </row>
    <row r="580">
      <c r="F580" s="5"/>
      <c r="H580" s="10"/>
    </row>
    <row r="581">
      <c r="F581" s="5"/>
      <c r="H581" s="10"/>
    </row>
    <row r="582">
      <c r="F582" s="5"/>
      <c r="H582" s="10"/>
    </row>
    <row r="583">
      <c r="F583" s="5"/>
      <c r="H583" s="10"/>
    </row>
    <row r="584">
      <c r="F584" s="5"/>
      <c r="H584" s="10"/>
    </row>
    <row r="585">
      <c r="F585" s="5"/>
      <c r="H585" s="10"/>
    </row>
    <row r="586">
      <c r="F586" s="5"/>
      <c r="H586" s="10"/>
    </row>
    <row r="587">
      <c r="F587" s="5"/>
      <c r="H587" s="10"/>
    </row>
    <row r="588">
      <c r="F588" s="5"/>
      <c r="H588" s="10"/>
    </row>
    <row r="589">
      <c r="F589" s="5"/>
      <c r="H589" s="10"/>
    </row>
    <row r="590">
      <c r="F590" s="5"/>
      <c r="H590" s="10"/>
    </row>
    <row r="591">
      <c r="F591" s="5"/>
      <c r="H591" s="10"/>
    </row>
    <row r="592">
      <c r="F592" s="5"/>
      <c r="H592" s="10"/>
    </row>
    <row r="593">
      <c r="F593" s="5"/>
      <c r="H593" s="10"/>
    </row>
    <row r="594">
      <c r="F594" s="5"/>
      <c r="H594" s="10"/>
    </row>
    <row r="595">
      <c r="F595" s="5"/>
      <c r="H595" s="10"/>
    </row>
    <row r="596">
      <c r="F596" s="5"/>
      <c r="H596" s="10"/>
    </row>
    <row r="597">
      <c r="F597" s="5"/>
      <c r="H597" s="10"/>
    </row>
    <row r="598">
      <c r="F598" s="5"/>
      <c r="H598" s="10"/>
    </row>
    <row r="599">
      <c r="F599" s="5"/>
      <c r="H599" s="10"/>
    </row>
    <row r="600">
      <c r="F600" s="5"/>
      <c r="H600" s="10"/>
    </row>
    <row r="601">
      <c r="F601" s="5"/>
      <c r="H601" s="10"/>
    </row>
    <row r="602">
      <c r="F602" s="5"/>
      <c r="H602" s="10"/>
    </row>
    <row r="603">
      <c r="F603" s="5"/>
      <c r="H603" s="10"/>
    </row>
    <row r="604">
      <c r="F604" s="5"/>
      <c r="H604" s="10"/>
    </row>
    <row r="605">
      <c r="F605" s="5"/>
      <c r="H605" s="10"/>
    </row>
    <row r="606">
      <c r="F606" s="5"/>
      <c r="H606" s="10"/>
    </row>
    <row r="607">
      <c r="F607" s="5"/>
      <c r="H607" s="10"/>
    </row>
    <row r="608">
      <c r="F608" s="5"/>
      <c r="H608" s="10"/>
    </row>
    <row r="609">
      <c r="F609" s="5"/>
      <c r="H609" s="10"/>
    </row>
    <row r="610">
      <c r="F610" s="5"/>
      <c r="H610" s="10"/>
    </row>
    <row r="611">
      <c r="F611" s="5"/>
      <c r="H611" s="10"/>
    </row>
    <row r="612">
      <c r="F612" s="5"/>
      <c r="H612" s="10"/>
    </row>
    <row r="613">
      <c r="F613" s="5"/>
      <c r="H613" s="10"/>
    </row>
    <row r="614">
      <c r="F614" s="5"/>
      <c r="H614" s="10"/>
    </row>
    <row r="615">
      <c r="F615" s="5"/>
      <c r="H615" s="10"/>
    </row>
    <row r="616">
      <c r="F616" s="5"/>
      <c r="H616" s="10"/>
    </row>
    <row r="617">
      <c r="F617" s="5"/>
      <c r="H617" s="10"/>
    </row>
    <row r="618">
      <c r="F618" s="5"/>
      <c r="H618" s="10"/>
    </row>
    <row r="619">
      <c r="F619" s="5"/>
      <c r="H619" s="10"/>
    </row>
    <row r="620">
      <c r="F620" s="5"/>
      <c r="H620" s="10"/>
    </row>
    <row r="621">
      <c r="F621" s="5"/>
      <c r="H621" s="10"/>
    </row>
    <row r="622">
      <c r="F622" s="5"/>
      <c r="H622" s="10"/>
    </row>
    <row r="623">
      <c r="F623" s="5"/>
      <c r="H623" s="10"/>
    </row>
    <row r="624">
      <c r="F624" s="5"/>
      <c r="H624" s="10"/>
    </row>
    <row r="625">
      <c r="F625" s="5"/>
      <c r="H625" s="10"/>
    </row>
    <row r="626">
      <c r="F626" s="5"/>
      <c r="H626" s="10"/>
    </row>
    <row r="627">
      <c r="F627" s="5"/>
      <c r="H627" s="10"/>
    </row>
    <row r="628">
      <c r="F628" s="5"/>
      <c r="H628" s="10"/>
    </row>
    <row r="629">
      <c r="F629" s="5"/>
      <c r="H629" s="10"/>
    </row>
    <row r="630">
      <c r="F630" s="5"/>
      <c r="H630" s="10"/>
    </row>
    <row r="631">
      <c r="F631" s="5"/>
      <c r="H631" s="10"/>
    </row>
    <row r="632">
      <c r="F632" s="5"/>
      <c r="H632" s="10"/>
    </row>
    <row r="633">
      <c r="F633" s="5"/>
      <c r="H633" s="10"/>
    </row>
    <row r="634">
      <c r="F634" s="5"/>
      <c r="H634" s="10"/>
    </row>
    <row r="635">
      <c r="F635" s="5"/>
      <c r="H635" s="10"/>
    </row>
    <row r="636">
      <c r="F636" s="5"/>
      <c r="H636" s="10"/>
    </row>
    <row r="637">
      <c r="F637" s="5"/>
      <c r="H637" s="10"/>
    </row>
    <row r="638">
      <c r="F638" s="5"/>
      <c r="H638" s="10"/>
    </row>
    <row r="639">
      <c r="F639" s="5"/>
      <c r="H639" s="10"/>
    </row>
    <row r="640">
      <c r="F640" s="5"/>
      <c r="H640" s="10"/>
    </row>
    <row r="641">
      <c r="F641" s="5"/>
      <c r="H641" s="10"/>
    </row>
    <row r="642">
      <c r="F642" s="5"/>
      <c r="H642" s="10"/>
    </row>
    <row r="643">
      <c r="F643" s="5"/>
      <c r="H643" s="10"/>
    </row>
    <row r="644">
      <c r="F644" s="5"/>
      <c r="H644" s="10"/>
    </row>
    <row r="645">
      <c r="F645" s="5"/>
      <c r="H645" s="10"/>
    </row>
    <row r="646">
      <c r="F646" s="5"/>
      <c r="H646" s="10"/>
    </row>
    <row r="647">
      <c r="F647" s="5"/>
      <c r="H647" s="10"/>
    </row>
    <row r="648">
      <c r="F648" s="5"/>
      <c r="H648" s="10"/>
    </row>
    <row r="649">
      <c r="F649" s="5"/>
      <c r="H649" s="10"/>
    </row>
    <row r="650">
      <c r="F650" s="5"/>
      <c r="H650" s="10"/>
    </row>
    <row r="651">
      <c r="F651" s="5"/>
      <c r="H651" s="10"/>
    </row>
    <row r="652">
      <c r="F652" s="5"/>
      <c r="H652" s="10"/>
    </row>
    <row r="653">
      <c r="F653" s="5"/>
      <c r="H653" s="10"/>
    </row>
    <row r="654">
      <c r="F654" s="5"/>
      <c r="H654" s="10"/>
    </row>
    <row r="655">
      <c r="F655" s="5"/>
      <c r="H655" s="10"/>
    </row>
    <row r="656">
      <c r="F656" s="5"/>
      <c r="H656" s="10"/>
    </row>
    <row r="657">
      <c r="F657" s="5"/>
      <c r="H657" s="10"/>
    </row>
    <row r="658">
      <c r="F658" s="5"/>
      <c r="H658" s="10"/>
    </row>
    <row r="659">
      <c r="F659" s="5"/>
      <c r="H659" s="10"/>
    </row>
    <row r="660">
      <c r="F660" s="5"/>
      <c r="H660" s="10"/>
    </row>
    <row r="661">
      <c r="F661" s="5"/>
      <c r="H661" s="10"/>
    </row>
    <row r="662">
      <c r="F662" s="5"/>
      <c r="H662" s="10"/>
    </row>
    <row r="663">
      <c r="F663" s="5"/>
      <c r="H663" s="10"/>
    </row>
    <row r="664">
      <c r="F664" s="5"/>
      <c r="H664" s="10"/>
    </row>
    <row r="665">
      <c r="F665" s="5"/>
      <c r="H665" s="10"/>
    </row>
    <row r="666">
      <c r="F666" s="5"/>
      <c r="H666" s="10"/>
    </row>
    <row r="667">
      <c r="F667" s="5"/>
      <c r="H667" s="10"/>
    </row>
    <row r="668">
      <c r="F668" s="5"/>
      <c r="H668" s="10"/>
    </row>
    <row r="669">
      <c r="F669" s="5"/>
      <c r="H669" s="10"/>
    </row>
    <row r="670">
      <c r="F670" s="5"/>
      <c r="H670" s="10"/>
    </row>
    <row r="671">
      <c r="F671" s="5"/>
      <c r="H671" s="10"/>
    </row>
    <row r="672">
      <c r="F672" s="5"/>
      <c r="H672" s="10"/>
    </row>
    <row r="673">
      <c r="F673" s="5"/>
      <c r="H673" s="10"/>
    </row>
    <row r="674">
      <c r="F674" s="5"/>
      <c r="H674" s="10"/>
    </row>
    <row r="675">
      <c r="F675" s="5"/>
      <c r="H675" s="10"/>
    </row>
    <row r="676">
      <c r="F676" s="5"/>
      <c r="H676" s="10"/>
    </row>
    <row r="677">
      <c r="F677" s="5"/>
      <c r="H677" s="10"/>
    </row>
    <row r="678">
      <c r="F678" s="5"/>
      <c r="H678" s="10"/>
    </row>
    <row r="679">
      <c r="F679" s="5"/>
      <c r="H679" s="10"/>
    </row>
    <row r="680">
      <c r="F680" s="5"/>
      <c r="H680" s="10"/>
    </row>
    <row r="681">
      <c r="F681" s="5"/>
      <c r="H681" s="10"/>
    </row>
    <row r="682">
      <c r="F682" s="5"/>
      <c r="H682" s="10"/>
    </row>
    <row r="683">
      <c r="F683" s="5"/>
      <c r="H683" s="10"/>
    </row>
    <row r="684">
      <c r="F684" s="5"/>
      <c r="H684" s="10"/>
    </row>
    <row r="685">
      <c r="F685" s="5"/>
      <c r="H685" s="10"/>
    </row>
    <row r="686">
      <c r="F686" s="5"/>
      <c r="H686" s="10"/>
    </row>
    <row r="687">
      <c r="F687" s="5"/>
      <c r="H687" s="10"/>
    </row>
    <row r="688">
      <c r="F688" s="5"/>
      <c r="H688" s="10"/>
    </row>
    <row r="689">
      <c r="F689" s="5"/>
      <c r="H689" s="10"/>
    </row>
    <row r="690">
      <c r="F690" s="5"/>
      <c r="H690" s="10"/>
    </row>
    <row r="691">
      <c r="F691" s="5"/>
      <c r="H691" s="10"/>
    </row>
    <row r="692">
      <c r="F692" s="5"/>
      <c r="H692" s="10"/>
    </row>
    <row r="693">
      <c r="F693" s="5"/>
      <c r="H693" s="10"/>
    </row>
    <row r="694">
      <c r="F694" s="5"/>
      <c r="H694" s="10"/>
    </row>
    <row r="695">
      <c r="F695" s="5"/>
      <c r="H695" s="10"/>
    </row>
    <row r="696">
      <c r="F696" s="5"/>
      <c r="H696" s="10"/>
    </row>
    <row r="697">
      <c r="F697" s="5"/>
      <c r="H697" s="10"/>
    </row>
    <row r="698">
      <c r="F698" s="5"/>
      <c r="H698" s="10"/>
    </row>
    <row r="699">
      <c r="F699" s="5"/>
      <c r="H699" s="10"/>
    </row>
    <row r="700">
      <c r="F700" s="5"/>
      <c r="H700" s="10"/>
    </row>
    <row r="701">
      <c r="F701" s="5"/>
      <c r="H701" s="10"/>
    </row>
    <row r="702">
      <c r="F702" s="5"/>
      <c r="H702" s="10"/>
    </row>
    <row r="703">
      <c r="F703" s="5"/>
      <c r="H703" s="10"/>
    </row>
    <row r="704">
      <c r="F704" s="5"/>
      <c r="H704" s="10"/>
    </row>
    <row r="705">
      <c r="F705" s="5"/>
      <c r="H705" s="10"/>
    </row>
    <row r="706">
      <c r="F706" s="5"/>
      <c r="H706" s="10"/>
    </row>
    <row r="707">
      <c r="F707" s="5"/>
      <c r="H707" s="10"/>
    </row>
    <row r="708">
      <c r="F708" s="5"/>
      <c r="H708" s="10"/>
    </row>
    <row r="709">
      <c r="F709" s="5"/>
      <c r="H709" s="10"/>
    </row>
    <row r="710">
      <c r="F710" s="5"/>
      <c r="H710" s="10"/>
    </row>
    <row r="711">
      <c r="F711" s="5"/>
      <c r="H711" s="10"/>
    </row>
    <row r="712">
      <c r="F712" s="5"/>
      <c r="H712" s="10"/>
    </row>
    <row r="713">
      <c r="F713" s="5"/>
      <c r="H713" s="10"/>
    </row>
    <row r="714">
      <c r="F714" s="5"/>
      <c r="H714" s="10"/>
    </row>
    <row r="715">
      <c r="F715" s="5"/>
      <c r="H715" s="10"/>
    </row>
    <row r="716">
      <c r="F716" s="5"/>
      <c r="H716" s="10"/>
    </row>
    <row r="717">
      <c r="F717" s="5"/>
      <c r="H717" s="10"/>
    </row>
    <row r="718">
      <c r="F718" s="5"/>
      <c r="H718" s="10"/>
    </row>
    <row r="719">
      <c r="F719" s="5"/>
      <c r="H719" s="10"/>
    </row>
    <row r="720">
      <c r="F720" s="5"/>
      <c r="H720" s="10"/>
    </row>
    <row r="721">
      <c r="F721" s="5"/>
      <c r="H721" s="10"/>
    </row>
    <row r="722">
      <c r="F722" s="5"/>
      <c r="H722" s="10"/>
    </row>
    <row r="723">
      <c r="F723" s="5"/>
      <c r="H723" s="10"/>
    </row>
    <row r="724">
      <c r="F724" s="5"/>
      <c r="H724" s="10"/>
    </row>
    <row r="725">
      <c r="F725" s="5"/>
      <c r="H725" s="10"/>
    </row>
    <row r="726">
      <c r="F726" s="5"/>
      <c r="H726" s="10"/>
    </row>
    <row r="727">
      <c r="F727" s="5"/>
      <c r="H727" s="10"/>
    </row>
    <row r="728">
      <c r="F728" s="5"/>
      <c r="H728" s="10"/>
    </row>
    <row r="729">
      <c r="F729" s="5"/>
      <c r="H729" s="10"/>
    </row>
    <row r="730">
      <c r="F730" s="5"/>
      <c r="H730" s="10"/>
    </row>
    <row r="731">
      <c r="F731" s="5"/>
      <c r="H731" s="10"/>
    </row>
    <row r="732">
      <c r="F732" s="5"/>
      <c r="H732" s="10"/>
    </row>
    <row r="733">
      <c r="F733" s="5"/>
      <c r="H733" s="10"/>
    </row>
    <row r="734">
      <c r="F734" s="5"/>
      <c r="H734" s="10"/>
    </row>
    <row r="735">
      <c r="F735" s="5"/>
      <c r="H735" s="10"/>
    </row>
    <row r="736">
      <c r="F736" s="5"/>
      <c r="H736" s="10"/>
    </row>
    <row r="737">
      <c r="F737" s="5"/>
      <c r="H737" s="10"/>
    </row>
    <row r="738">
      <c r="F738" s="5"/>
      <c r="H738" s="10"/>
    </row>
    <row r="739">
      <c r="F739" s="5"/>
      <c r="H739" s="10"/>
    </row>
    <row r="740">
      <c r="F740" s="5"/>
      <c r="H740" s="10"/>
    </row>
    <row r="741">
      <c r="F741" s="5"/>
      <c r="H741" s="10"/>
    </row>
    <row r="742">
      <c r="F742" s="5"/>
      <c r="H742" s="10"/>
    </row>
    <row r="743">
      <c r="F743" s="5"/>
      <c r="H743" s="10"/>
    </row>
    <row r="744">
      <c r="F744" s="5"/>
      <c r="H744" s="10"/>
    </row>
    <row r="745">
      <c r="F745" s="5"/>
      <c r="H745" s="10"/>
    </row>
    <row r="746">
      <c r="F746" s="5"/>
      <c r="H746" s="10"/>
    </row>
    <row r="747">
      <c r="F747" s="5"/>
      <c r="H747" s="10"/>
    </row>
    <row r="748">
      <c r="F748" s="5"/>
      <c r="H748" s="10"/>
    </row>
    <row r="749">
      <c r="F749" s="5"/>
      <c r="H749" s="10"/>
    </row>
    <row r="750">
      <c r="F750" s="5"/>
      <c r="H750" s="10"/>
    </row>
    <row r="751">
      <c r="F751" s="5"/>
      <c r="H751" s="10"/>
    </row>
    <row r="752">
      <c r="F752" s="5"/>
      <c r="H752" s="10"/>
    </row>
    <row r="753">
      <c r="F753" s="5"/>
      <c r="H753" s="10"/>
    </row>
    <row r="754">
      <c r="F754" s="5"/>
      <c r="H754" s="10"/>
    </row>
    <row r="755">
      <c r="F755" s="5"/>
      <c r="H755" s="10"/>
    </row>
    <row r="756">
      <c r="F756" s="5"/>
      <c r="H756" s="10"/>
    </row>
    <row r="757">
      <c r="F757" s="5"/>
      <c r="H757" s="10"/>
    </row>
    <row r="758">
      <c r="F758" s="5"/>
      <c r="H758" s="10"/>
    </row>
    <row r="759">
      <c r="F759" s="5"/>
      <c r="H759" s="10"/>
    </row>
    <row r="760">
      <c r="F760" s="5"/>
      <c r="H760" s="10"/>
    </row>
    <row r="761">
      <c r="F761" s="5"/>
      <c r="H761" s="10"/>
    </row>
    <row r="762">
      <c r="F762" s="5"/>
      <c r="H762" s="10"/>
    </row>
    <row r="763">
      <c r="F763" s="5"/>
      <c r="H763" s="10"/>
    </row>
    <row r="764">
      <c r="F764" s="5"/>
      <c r="H764" s="10"/>
    </row>
    <row r="765">
      <c r="F765" s="5"/>
      <c r="H765" s="10"/>
    </row>
    <row r="766">
      <c r="F766" s="5"/>
      <c r="H766" s="10"/>
    </row>
    <row r="767">
      <c r="F767" s="5"/>
      <c r="H767" s="10"/>
    </row>
    <row r="768">
      <c r="F768" s="5"/>
      <c r="H768" s="10"/>
    </row>
    <row r="769">
      <c r="F769" s="5"/>
      <c r="H769" s="10"/>
    </row>
    <row r="770">
      <c r="F770" s="5"/>
      <c r="H770" s="10"/>
    </row>
    <row r="771">
      <c r="F771" s="5"/>
      <c r="H771" s="10"/>
    </row>
    <row r="772">
      <c r="F772" s="5"/>
      <c r="H772" s="10"/>
    </row>
    <row r="773">
      <c r="F773" s="5"/>
      <c r="H773" s="10"/>
    </row>
    <row r="774">
      <c r="F774" s="5"/>
      <c r="H774" s="10"/>
    </row>
    <row r="775">
      <c r="F775" s="5"/>
      <c r="H775" s="10"/>
    </row>
    <row r="776">
      <c r="F776" s="5"/>
      <c r="H776" s="10"/>
    </row>
    <row r="777">
      <c r="F777" s="5"/>
      <c r="H777" s="10"/>
    </row>
    <row r="778">
      <c r="F778" s="5"/>
      <c r="H778" s="10"/>
    </row>
    <row r="779">
      <c r="F779" s="5"/>
      <c r="H779" s="10"/>
    </row>
    <row r="780">
      <c r="F780" s="5"/>
      <c r="H780" s="10"/>
    </row>
    <row r="781">
      <c r="F781" s="5"/>
      <c r="H781" s="10"/>
    </row>
    <row r="782">
      <c r="F782" s="5"/>
      <c r="H782" s="10"/>
    </row>
    <row r="783">
      <c r="F783" s="5"/>
      <c r="H783" s="10"/>
    </row>
    <row r="784">
      <c r="F784" s="5"/>
      <c r="H784" s="10"/>
    </row>
    <row r="785">
      <c r="F785" s="5"/>
      <c r="H785" s="10"/>
    </row>
    <row r="786">
      <c r="F786" s="5"/>
      <c r="H786" s="10"/>
    </row>
    <row r="787">
      <c r="F787" s="5"/>
      <c r="H787" s="10"/>
    </row>
    <row r="788">
      <c r="F788" s="5"/>
      <c r="H788" s="10"/>
    </row>
    <row r="789">
      <c r="F789" s="5"/>
      <c r="H789" s="10"/>
    </row>
    <row r="790">
      <c r="F790" s="5"/>
      <c r="H790" s="10"/>
    </row>
    <row r="791">
      <c r="F791" s="5"/>
      <c r="H791" s="10"/>
    </row>
    <row r="792">
      <c r="F792" s="5"/>
      <c r="H792" s="10"/>
    </row>
    <row r="793">
      <c r="F793" s="5"/>
      <c r="H793" s="10"/>
    </row>
    <row r="794">
      <c r="F794" s="5"/>
      <c r="H794" s="10"/>
    </row>
    <row r="795">
      <c r="F795" s="5"/>
      <c r="H795" s="10"/>
    </row>
    <row r="796">
      <c r="F796" s="5"/>
      <c r="H796" s="10"/>
    </row>
    <row r="797">
      <c r="F797" s="5"/>
      <c r="H797" s="10"/>
    </row>
    <row r="798">
      <c r="F798" s="5"/>
      <c r="H798" s="10"/>
    </row>
    <row r="799">
      <c r="F799" s="5"/>
      <c r="H799" s="10"/>
    </row>
    <row r="800">
      <c r="F800" s="5"/>
      <c r="H800" s="10"/>
    </row>
    <row r="801">
      <c r="F801" s="5"/>
      <c r="H801" s="10"/>
    </row>
    <row r="802">
      <c r="F802" s="5"/>
      <c r="H802" s="10"/>
    </row>
    <row r="803">
      <c r="F803" s="5"/>
      <c r="H803" s="10"/>
    </row>
    <row r="804">
      <c r="F804" s="5"/>
      <c r="H804" s="10"/>
    </row>
    <row r="805">
      <c r="F805" s="5"/>
      <c r="H805" s="10"/>
    </row>
    <row r="806">
      <c r="F806" s="5"/>
      <c r="H806" s="10"/>
    </row>
    <row r="807">
      <c r="F807" s="5"/>
      <c r="H807" s="10"/>
    </row>
    <row r="808">
      <c r="F808" s="5"/>
      <c r="H808" s="10"/>
    </row>
    <row r="809">
      <c r="F809" s="5"/>
      <c r="H809" s="10"/>
    </row>
    <row r="810">
      <c r="F810" s="5"/>
      <c r="H810" s="10"/>
    </row>
    <row r="811">
      <c r="F811" s="5"/>
      <c r="H811" s="10"/>
    </row>
    <row r="812">
      <c r="F812" s="5"/>
      <c r="H812" s="10"/>
    </row>
    <row r="813">
      <c r="F813" s="5"/>
      <c r="H813" s="10"/>
    </row>
    <row r="814">
      <c r="F814" s="5"/>
      <c r="H814" s="10"/>
    </row>
    <row r="815">
      <c r="F815" s="5"/>
      <c r="H815" s="10"/>
    </row>
    <row r="816">
      <c r="F816" s="5"/>
      <c r="H816" s="10"/>
    </row>
    <row r="817">
      <c r="F817" s="5"/>
      <c r="H817" s="10"/>
    </row>
    <row r="818">
      <c r="F818" s="5"/>
      <c r="H818" s="10"/>
    </row>
    <row r="819">
      <c r="F819" s="5"/>
      <c r="H819" s="10"/>
    </row>
    <row r="820">
      <c r="F820" s="5"/>
      <c r="H820" s="10"/>
    </row>
    <row r="821">
      <c r="F821" s="5"/>
      <c r="H821" s="10"/>
    </row>
    <row r="822">
      <c r="F822" s="5"/>
      <c r="H822" s="10"/>
    </row>
    <row r="823">
      <c r="F823" s="5"/>
      <c r="H823" s="10"/>
    </row>
    <row r="824">
      <c r="F824" s="5"/>
      <c r="H824" s="10"/>
    </row>
    <row r="825">
      <c r="F825" s="5"/>
      <c r="H825" s="10"/>
    </row>
    <row r="826">
      <c r="F826" s="5"/>
      <c r="H826" s="10"/>
    </row>
    <row r="827">
      <c r="F827" s="5"/>
      <c r="H827" s="10"/>
    </row>
    <row r="828">
      <c r="F828" s="5"/>
      <c r="H828" s="10"/>
    </row>
    <row r="829">
      <c r="F829" s="5"/>
      <c r="H829" s="10"/>
    </row>
    <row r="830">
      <c r="F830" s="5"/>
      <c r="H830" s="10"/>
    </row>
    <row r="831">
      <c r="F831" s="5"/>
      <c r="H831" s="10"/>
    </row>
    <row r="832">
      <c r="F832" s="5"/>
      <c r="H832" s="10"/>
    </row>
    <row r="833">
      <c r="F833" s="5"/>
      <c r="H833" s="10"/>
    </row>
    <row r="834">
      <c r="F834" s="5"/>
      <c r="H834" s="10"/>
    </row>
    <row r="835">
      <c r="F835" s="5"/>
      <c r="H835" s="10"/>
    </row>
    <row r="836">
      <c r="F836" s="5"/>
      <c r="H836" s="10"/>
    </row>
    <row r="837">
      <c r="F837" s="5"/>
      <c r="H837" s="10"/>
    </row>
    <row r="838">
      <c r="F838" s="5"/>
      <c r="H838" s="10"/>
    </row>
    <row r="839">
      <c r="F839" s="5"/>
      <c r="H839" s="10"/>
    </row>
    <row r="840">
      <c r="F840" s="5"/>
      <c r="H840" s="10"/>
    </row>
    <row r="841">
      <c r="F841" s="5"/>
      <c r="H841" s="10"/>
    </row>
    <row r="842">
      <c r="F842" s="5"/>
      <c r="H842" s="10"/>
    </row>
    <row r="843">
      <c r="F843" s="5"/>
      <c r="H843" s="10"/>
    </row>
    <row r="844">
      <c r="F844" s="5"/>
      <c r="H844" s="10"/>
    </row>
    <row r="845">
      <c r="F845" s="5"/>
      <c r="H845" s="10"/>
    </row>
    <row r="846">
      <c r="F846" s="5"/>
      <c r="H846" s="10"/>
    </row>
    <row r="847">
      <c r="F847" s="5"/>
      <c r="H847" s="10"/>
    </row>
    <row r="848">
      <c r="F848" s="5"/>
      <c r="H848" s="10"/>
    </row>
    <row r="849">
      <c r="F849" s="5"/>
      <c r="H849" s="10"/>
    </row>
    <row r="850">
      <c r="F850" s="5"/>
      <c r="H850" s="10"/>
    </row>
    <row r="851">
      <c r="F851" s="5"/>
      <c r="H851" s="10"/>
    </row>
    <row r="852">
      <c r="F852" s="5"/>
      <c r="H852" s="10"/>
    </row>
    <row r="853">
      <c r="F853" s="5"/>
      <c r="H853" s="10"/>
    </row>
    <row r="854">
      <c r="F854" s="5"/>
      <c r="H854" s="10"/>
    </row>
    <row r="855">
      <c r="F855" s="5"/>
      <c r="H855" s="10"/>
    </row>
    <row r="856">
      <c r="F856" s="5"/>
      <c r="H856" s="10"/>
    </row>
    <row r="857">
      <c r="F857" s="5"/>
      <c r="H857" s="10"/>
    </row>
    <row r="858">
      <c r="F858" s="5"/>
      <c r="H858" s="10"/>
    </row>
    <row r="859">
      <c r="F859" s="5"/>
      <c r="H859" s="10"/>
    </row>
    <row r="860">
      <c r="F860" s="5"/>
      <c r="H860" s="10"/>
    </row>
    <row r="861">
      <c r="F861" s="5"/>
      <c r="H861" s="10"/>
    </row>
    <row r="862">
      <c r="F862" s="5"/>
      <c r="H862" s="10"/>
    </row>
    <row r="863">
      <c r="F863" s="5"/>
      <c r="H863" s="10"/>
    </row>
    <row r="864">
      <c r="F864" s="5"/>
      <c r="H864" s="10"/>
    </row>
    <row r="865">
      <c r="F865" s="5"/>
      <c r="H865" s="10"/>
    </row>
    <row r="866">
      <c r="F866" s="5"/>
      <c r="H866" s="10"/>
    </row>
    <row r="867">
      <c r="F867" s="5"/>
      <c r="H867" s="10"/>
    </row>
    <row r="868">
      <c r="F868" s="5"/>
      <c r="H868" s="10"/>
    </row>
    <row r="869">
      <c r="F869" s="5"/>
      <c r="H869" s="10"/>
    </row>
    <row r="870">
      <c r="F870" s="5"/>
      <c r="H870" s="10"/>
    </row>
    <row r="871">
      <c r="F871" s="5"/>
      <c r="H871" s="10"/>
    </row>
    <row r="872">
      <c r="F872" s="5"/>
      <c r="H872" s="10"/>
    </row>
    <row r="873">
      <c r="F873" s="5"/>
      <c r="H873" s="10"/>
    </row>
    <row r="874">
      <c r="F874" s="5"/>
      <c r="H874" s="10"/>
    </row>
    <row r="875">
      <c r="F875" s="5"/>
      <c r="H875" s="10"/>
    </row>
    <row r="876">
      <c r="F876" s="5"/>
      <c r="H876" s="10"/>
    </row>
    <row r="877">
      <c r="F877" s="5"/>
      <c r="H877" s="10"/>
    </row>
    <row r="878">
      <c r="F878" s="5"/>
      <c r="H878" s="10"/>
    </row>
    <row r="879">
      <c r="F879" s="5"/>
      <c r="H879" s="10"/>
    </row>
    <row r="880">
      <c r="F880" s="5"/>
      <c r="H880" s="10"/>
    </row>
    <row r="881">
      <c r="F881" s="5"/>
      <c r="H881" s="10"/>
    </row>
    <row r="882">
      <c r="F882" s="5"/>
      <c r="H882" s="10"/>
    </row>
    <row r="883">
      <c r="F883" s="5"/>
      <c r="H883" s="10"/>
    </row>
    <row r="884">
      <c r="F884" s="5"/>
      <c r="H884" s="10"/>
    </row>
    <row r="885">
      <c r="F885" s="5"/>
      <c r="H885" s="10"/>
    </row>
    <row r="886">
      <c r="F886" s="5"/>
      <c r="H886" s="10"/>
    </row>
    <row r="887">
      <c r="F887" s="5"/>
      <c r="H887" s="10"/>
    </row>
    <row r="888">
      <c r="F888" s="5"/>
      <c r="H888" s="10"/>
    </row>
    <row r="889">
      <c r="F889" s="5"/>
      <c r="H889" s="10"/>
    </row>
    <row r="890">
      <c r="F890" s="5"/>
      <c r="H890" s="10"/>
    </row>
    <row r="891">
      <c r="F891" s="5"/>
      <c r="H891" s="10"/>
    </row>
    <row r="892">
      <c r="F892" s="5"/>
      <c r="H892" s="10"/>
    </row>
    <row r="893">
      <c r="F893" s="5"/>
      <c r="H893" s="10"/>
    </row>
    <row r="894">
      <c r="F894" s="5"/>
      <c r="H894" s="10"/>
    </row>
    <row r="895">
      <c r="F895" s="5"/>
      <c r="H895" s="10"/>
    </row>
    <row r="896">
      <c r="F896" s="5"/>
      <c r="H896" s="10"/>
    </row>
    <row r="897">
      <c r="F897" s="5"/>
      <c r="H897" s="10"/>
    </row>
    <row r="898">
      <c r="F898" s="5"/>
      <c r="H898" s="10"/>
    </row>
    <row r="899">
      <c r="F899" s="5"/>
      <c r="H899" s="10"/>
    </row>
    <row r="900">
      <c r="F900" s="5"/>
      <c r="H900" s="10"/>
    </row>
    <row r="901">
      <c r="F901" s="5"/>
      <c r="H901" s="10"/>
    </row>
    <row r="902">
      <c r="F902" s="5"/>
      <c r="H902" s="10"/>
    </row>
    <row r="903">
      <c r="F903" s="5"/>
      <c r="H903" s="10"/>
    </row>
    <row r="904">
      <c r="F904" s="5"/>
      <c r="H904" s="10"/>
    </row>
    <row r="905">
      <c r="F905" s="5"/>
      <c r="H905" s="10"/>
    </row>
    <row r="906">
      <c r="F906" s="5"/>
      <c r="H906" s="10"/>
    </row>
    <row r="907">
      <c r="F907" s="5"/>
      <c r="H907" s="10"/>
    </row>
    <row r="908">
      <c r="F908" s="5"/>
      <c r="H908" s="10"/>
    </row>
    <row r="909">
      <c r="F909" s="5"/>
      <c r="H909" s="10"/>
    </row>
    <row r="910">
      <c r="F910" s="5"/>
      <c r="H910" s="10"/>
    </row>
    <row r="911">
      <c r="F911" s="5"/>
      <c r="H911" s="10"/>
    </row>
    <row r="912">
      <c r="F912" s="5"/>
      <c r="H912" s="10"/>
    </row>
    <row r="913">
      <c r="F913" s="5"/>
      <c r="H913" s="10"/>
    </row>
    <row r="914">
      <c r="F914" s="5"/>
      <c r="H914" s="10"/>
    </row>
    <row r="915">
      <c r="F915" s="5"/>
      <c r="H915" s="10"/>
    </row>
    <row r="916">
      <c r="F916" s="5"/>
      <c r="H916" s="10"/>
    </row>
    <row r="917">
      <c r="F917" s="5"/>
      <c r="H917" s="10"/>
    </row>
    <row r="918">
      <c r="F918" s="5"/>
      <c r="H918" s="10"/>
    </row>
    <row r="919">
      <c r="F919" s="5"/>
      <c r="H919" s="10"/>
    </row>
    <row r="920">
      <c r="F920" s="5"/>
      <c r="H920" s="10"/>
    </row>
    <row r="921">
      <c r="F921" s="5"/>
      <c r="H921" s="10"/>
    </row>
    <row r="922">
      <c r="F922" s="5"/>
      <c r="H922" s="10"/>
    </row>
    <row r="923">
      <c r="F923" s="5"/>
      <c r="H923" s="10"/>
    </row>
    <row r="924">
      <c r="F924" s="5"/>
      <c r="H924" s="10"/>
    </row>
    <row r="925">
      <c r="F925" s="5"/>
      <c r="H925" s="10"/>
    </row>
    <row r="926">
      <c r="F926" s="5"/>
      <c r="H926" s="10"/>
    </row>
    <row r="927">
      <c r="F927" s="5"/>
      <c r="H927" s="10"/>
    </row>
    <row r="928">
      <c r="F928" s="5"/>
      <c r="H928" s="10"/>
    </row>
    <row r="929">
      <c r="F929" s="5"/>
      <c r="H929" s="10"/>
    </row>
    <row r="930">
      <c r="F930" s="5"/>
      <c r="H930" s="10"/>
    </row>
    <row r="931">
      <c r="F931" s="5"/>
      <c r="H931" s="10"/>
    </row>
    <row r="932">
      <c r="F932" s="5"/>
      <c r="H932" s="10"/>
    </row>
    <row r="933">
      <c r="F933" s="5"/>
      <c r="H933" s="10"/>
    </row>
    <row r="934">
      <c r="F934" s="5"/>
      <c r="H934" s="10"/>
    </row>
    <row r="935">
      <c r="F935" s="5"/>
      <c r="H935" s="10"/>
    </row>
    <row r="936">
      <c r="F936" s="5"/>
      <c r="H936" s="10"/>
    </row>
    <row r="937">
      <c r="F937" s="5"/>
      <c r="H937" s="10"/>
    </row>
    <row r="938">
      <c r="F938" s="5"/>
      <c r="H938" s="10"/>
    </row>
    <row r="939">
      <c r="F939" s="5"/>
      <c r="H939" s="10"/>
    </row>
    <row r="940">
      <c r="F940" s="5"/>
      <c r="H940" s="10"/>
    </row>
    <row r="941">
      <c r="F941" s="5"/>
      <c r="H941" s="10"/>
    </row>
    <row r="942">
      <c r="F942" s="5"/>
      <c r="H942" s="10"/>
    </row>
    <row r="943">
      <c r="F943" s="5"/>
      <c r="H943" s="10"/>
    </row>
    <row r="944">
      <c r="F944" s="5"/>
      <c r="H944" s="10"/>
    </row>
    <row r="945">
      <c r="F945" s="5"/>
      <c r="H945" s="10"/>
    </row>
    <row r="946">
      <c r="F946" s="5"/>
      <c r="H946" s="10"/>
    </row>
    <row r="947">
      <c r="F947" s="5"/>
      <c r="H947" s="10"/>
    </row>
    <row r="948">
      <c r="F948" s="5"/>
      <c r="H948" s="1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3" t="s">
        <v>4</v>
      </c>
      <c r="C1" s="4" t="s">
        <v>7</v>
      </c>
      <c r="D1" s="6" t="s">
        <v>8</v>
      </c>
      <c r="E1" s="1" t="s">
        <v>9</v>
      </c>
      <c r="F1" s="1" t="s">
        <v>10</v>
      </c>
    </row>
    <row r="2">
      <c r="A2" s="2" t="s">
        <v>11</v>
      </c>
      <c r="B2" s="7">
        <v>6672.0</v>
      </c>
      <c r="C2" s="4">
        <v>7.76</v>
      </c>
      <c r="D2" s="9">
        <v>51774.72</v>
      </c>
      <c r="E2" s="1" t="s">
        <v>13</v>
      </c>
    </row>
    <row r="3">
      <c r="A3" s="2" t="s">
        <v>14</v>
      </c>
      <c r="B3" s="11">
        <v>5481.0</v>
      </c>
      <c r="C3" s="4">
        <v>13.16</v>
      </c>
      <c r="D3" s="9">
        <v>72129.96</v>
      </c>
      <c r="E3" s="1" t="s">
        <v>13</v>
      </c>
    </row>
    <row r="4">
      <c r="A4" s="2">
        <v>325.0</v>
      </c>
      <c r="B4" s="11">
        <v>78.0</v>
      </c>
      <c r="C4" s="4">
        <v>18.0</v>
      </c>
      <c r="D4" s="9">
        <v>1404.0</v>
      </c>
      <c r="E4" s="1" t="s">
        <v>13</v>
      </c>
    </row>
    <row r="5">
      <c r="A5" s="2">
        <v>329.0</v>
      </c>
      <c r="B5" s="7">
        <v>55.0</v>
      </c>
      <c r="C5" s="4">
        <v>17.5</v>
      </c>
      <c r="D5" s="9">
        <v>962.5</v>
      </c>
      <c r="E5" s="1" t="s">
        <v>13</v>
      </c>
    </row>
    <row r="6">
      <c r="A6" s="2" t="s">
        <v>26</v>
      </c>
      <c r="B6" s="11">
        <v>15236.0</v>
      </c>
      <c r="C6" s="4">
        <v>18.2</v>
      </c>
      <c r="D6" s="9">
        <v>277295.2</v>
      </c>
      <c r="E6" s="1" t="s">
        <v>13</v>
      </c>
    </row>
    <row r="7">
      <c r="A7" s="2">
        <v>336.0</v>
      </c>
      <c r="B7" s="11">
        <v>1837.0</v>
      </c>
      <c r="C7" s="4">
        <v>18.33</v>
      </c>
      <c r="D7" s="9">
        <v>33672.21</v>
      </c>
      <c r="E7" s="1" t="s">
        <v>13</v>
      </c>
    </row>
    <row r="8">
      <c r="A8" s="2">
        <v>340.0</v>
      </c>
      <c r="B8" s="11">
        <v>223.0</v>
      </c>
      <c r="C8" s="4">
        <v>14.75</v>
      </c>
      <c r="D8" s="9">
        <v>3289.25</v>
      </c>
      <c r="E8" s="1" t="s">
        <v>13</v>
      </c>
    </row>
    <row r="9">
      <c r="A9" s="2">
        <v>362.0</v>
      </c>
      <c r="B9" s="15">
        <v>21071.0</v>
      </c>
      <c r="C9" s="4">
        <v>25.0</v>
      </c>
      <c r="D9" s="9">
        <v>526775.0</v>
      </c>
      <c r="E9" s="1" t="s">
        <v>13</v>
      </c>
    </row>
    <row r="10">
      <c r="A10" s="2">
        <v>367.0</v>
      </c>
      <c r="B10" s="11">
        <v>15630.0</v>
      </c>
      <c r="C10" s="4">
        <v>19.0</v>
      </c>
      <c r="D10" s="9">
        <v>296970.0</v>
      </c>
      <c r="E10" s="1" t="s">
        <v>13</v>
      </c>
    </row>
    <row r="11">
      <c r="A11" s="2">
        <v>373.0</v>
      </c>
      <c r="B11" s="11">
        <v>49.0</v>
      </c>
      <c r="C11" s="4">
        <v>22.45</v>
      </c>
      <c r="D11" s="9">
        <v>1100.05</v>
      </c>
      <c r="E11" s="1" t="s">
        <v>13</v>
      </c>
    </row>
    <row r="12">
      <c r="A12" s="2">
        <v>374.0</v>
      </c>
      <c r="B12" s="11">
        <v>531.0</v>
      </c>
      <c r="C12" s="4">
        <v>19.05</v>
      </c>
      <c r="D12" s="9">
        <v>10115.550000000001</v>
      </c>
      <c r="E12" s="1" t="s">
        <v>13</v>
      </c>
    </row>
    <row r="13">
      <c r="A13" s="2">
        <v>376.0</v>
      </c>
      <c r="B13" s="11">
        <v>721.0</v>
      </c>
      <c r="C13" s="4">
        <v>16.25</v>
      </c>
      <c r="D13" s="9">
        <v>11716.25</v>
      </c>
      <c r="E13" s="1" t="s">
        <v>13</v>
      </c>
    </row>
    <row r="14">
      <c r="A14" s="2">
        <v>380.0</v>
      </c>
      <c r="B14" s="11">
        <v>1625.0</v>
      </c>
      <c r="C14" s="4">
        <v>105.0</v>
      </c>
      <c r="D14" s="9">
        <v>170625.0</v>
      </c>
      <c r="E14" s="1" t="s">
        <v>41</v>
      </c>
    </row>
    <row r="15">
      <c r="A15" s="2">
        <v>388.0</v>
      </c>
      <c r="B15" s="11">
        <v>1800.0</v>
      </c>
      <c r="C15" s="4">
        <v>13.76</v>
      </c>
      <c r="D15" s="9">
        <v>24768.0</v>
      </c>
      <c r="E15" s="1" t="s">
        <v>13</v>
      </c>
    </row>
    <row r="16">
      <c r="A16" s="2" t="s">
        <v>44</v>
      </c>
      <c r="B16" s="11">
        <v>228.0</v>
      </c>
      <c r="C16" s="4">
        <v>17.6</v>
      </c>
      <c r="D16" s="9">
        <v>4012.8</v>
      </c>
      <c r="E16" s="1" t="s">
        <v>13</v>
      </c>
    </row>
    <row r="17">
      <c r="A17" s="2">
        <v>389.0</v>
      </c>
      <c r="B17" s="11">
        <v>1844.0</v>
      </c>
      <c r="C17" s="4">
        <v>21.24</v>
      </c>
      <c r="D17" s="9">
        <v>39166.56</v>
      </c>
      <c r="E17" s="1" t="s">
        <v>13</v>
      </c>
    </row>
    <row r="18">
      <c r="A18" s="2">
        <v>393.0</v>
      </c>
      <c r="B18" s="11">
        <v>81.0</v>
      </c>
      <c r="C18" s="4">
        <v>22.75</v>
      </c>
      <c r="D18" s="9">
        <v>1842.75</v>
      </c>
      <c r="E18" s="1" t="s">
        <v>13</v>
      </c>
    </row>
    <row r="19">
      <c r="A19" s="2">
        <v>394.0</v>
      </c>
      <c r="B19" s="11">
        <v>1506.0</v>
      </c>
      <c r="C19" s="4">
        <v>21.91</v>
      </c>
      <c r="D19" s="9">
        <v>32996.46</v>
      </c>
      <c r="E19" s="1" t="s">
        <v>13</v>
      </c>
    </row>
    <row r="20">
      <c r="A20" s="2">
        <v>395.0</v>
      </c>
      <c r="B20" s="7">
        <v>400.0</v>
      </c>
      <c r="C20" s="4">
        <v>20.41</v>
      </c>
      <c r="D20" s="9">
        <v>8164.0</v>
      </c>
      <c r="E20" s="1" t="s">
        <v>13</v>
      </c>
    </row>
    <row r="21">
      <c r="A21" s="2">
        <v>398.0</v>
      </c>
      <c r="B21" s="7">
        <v>6502.0</v>
      </c>
      <c r="C21" s="4">
        <v>18.31</v>
      </c>
      <c r="D21" s="9">
        <v>119051.62</v>
      </c>
      <c r="E21" s="1" t="s">
        <v>13</v>
      </c>
    </row>
    <row r="22">
      <c r="A22" s="2">
        <v>407.0</v>
      </c>
      <c r="B22" s="7">
        <v>473.0</v>
      </c>
      <c r="C22" s="4">
        <v>16.61</v>
      </c>
      <c r="D22" s="9">
        <v>7856.53</v>
      </c>
      <c r="E22" s="1" t="s">
        <v>13</v>
      </c>
    </row>
    <row r="23">
      <c r="A23" s="2">
        <v>412.0</v>
      </c>
      <c r="B23" s="7">
        <v>2646.0</v>
      </c>
      <c r="C23" s="4">
        <v>50.25</v>
      </c>
      <c r="D23" s="9">
        <v>132961.5</v>
      </c>
      <c r="E23" s="1" t="s">
        <v>41</v>
      </c>
    </row>
    <row r="24">
      <c r="A24" s="2">
        <v>421.0</v>
      </c>
      <c r="B24" s="7">
        <v>222.0</v>
      </c>
      <c r="C24" s="4">
        <v>25.25</v>
      </c>
      <c r="D24" s="9">
        <v>5605.5</v>
      </c>
      <c r="E24" s="1" t="s">
        <v>13</v>
      </c>
    </row>
    <row r="25">
      <c r="A25" s="2">
        <v>427.0</v>
      </c>
      <c r="B25" s="7">
        <v>349.0</v>
      </c>
      <c r="C25" s="4">
        <v>61.25</v>
      </c>
      <c r="D25" s="9">
        <v>21376.25</v>
      </c>
      <c r="E25" s="1" t="s">
        <v>41</v>
      </c>
    </row>
    <row r="26">
      <c r="A26" s="2">
        <v>430.0</v>
      </c>
      <c r="B26" s="7">
        <v>1087.0</v>
      </c>
      <c r="C26" s="4">
        <v>27.7</v>
      </c>
      <c r="D26" s="9">
        <v>30109.899999999998</v>
      </c>
      <c r="E26" s="1" t="s">
        <v>13</v>
      </c>
    </row>
    <row r="27">
      <c r="A27" s="2">
        <v>432.0</v>
      </c>
      <c r="B27" s="7">
        <v>256.0</v>
      </c>
      <c r="C27" s="4">
        <v>13.5</v>
      </c>
      <c r="D27" s="9">
        <v>3456.0</v>
      </c>
      <c r="E27" s="1" t="s">
        <v>13</v>
      </c>
    </row>
    <row r="28">
      <c r="A28" s="2">
        <v>437.0</v>
      </c>
      <c r="B28" s="7">
        <v>3503.0</v>
      </c>
      <c r="C28" s="4">
        <v>96.25</v>
      </c>
      <c r="D28" s="9">
        <v>337163.75</v>
      </c>
      <c r="E28" s="1" t="s">
        <v>41</v>
      </c>
    </row>
    <row r="29">
      <c r="A29" s="2">
        <v>439.0</v>
      </c>
      <c r="B29" s="7">
        <v>14835.0</v>
      </c>
      <c r="C29" s="4">
        <v>26.41</v>
      </c>
      <c r="D29" s="9">
        <v>391792.35</v>
      </c>
      <c r="E29" s="1" t="s">
        <v>13</v>
      </c>
    </row>
    <row r="30">
      <c r="A30" s="2">
        <v>441.0</v>
      </c>
      <c r="B30" s="7">
        <v>316.0</v>
      </c>
      <c r="C30" s="4">
        <v>16.6</v>
      </c>
      <c r="D30" s="9">
        <v>5245.6</v>
      </c>
      <c r="E30" s="1" t="s">
        <v>13</v>
      </c>
    </row>
    <row r="31">
      <c r="A31" s="2">
        <v>444.0</v>
      </c>
      <c r="B31" s="11">
        <v>288.0</v>
      </c>
      <c r="C31" s="4">
        <v>14.36</v>
      </c>
      <c r="D31" s="9">
        <v>4135.68</v>
      </c>
      <c r="E31" s="1" t="s">
        <v>13</v>
      </c>
    </row>
    <row r="32">
      <c r="A32" s="2">
        <v>448.0</v>
      </c>
      <c r="B32" s="7">
        <v>4990.0</v>
      </c>
      <c r="C32" s="4">
        <v>39.0</v>
      </c>
      <c r="D32" s="9">
        <v>194610.0</v>
      </c>
      <c r="E32" s="1" t="s">
        <v>13</v>
      </c>
    </row>
    <row r="33">
      <c r="A33" s="2">
        <v>450.0</v>
      </c>
      <c r="B33" s="11">
        <v>8038.0</v>
      </c>
      <c r="C33" s="4">
        <v>19.61</v>
      </c>
      <c r="D33" s="9">
        <v>157625.18</v>
      </c>
      <c r="E33" s="1" t="s">
        <v>13</v>
      </c>
    </row>
    <row r="34">
      <c r="A34" s="2">
        <v>451.0</v>
      </c>
      <c r="B34" s="11">
        <v>365.0</v>
      </c>
      <c r="C34" s="4">
        <v>31.5</v>
      </c>
      <c r="D34" s="9">
        <v>11497.5</v>
      </c>
      <c r="E34" s="1" t="s">
        <v>13</v>
      </c>
    </row>
    <row r="35">
      <c r="A35" s="2">
        <v>452.0</v>
      </c>
      <c r="B35" s="11">
        <v>1509.0</v>
      </c>
      <c r="C35" s="4">
        <v>26.11</v>
      </c>
      <c r="D35" s="9">
        <v>39399.99</v>
      </c>
      <c r="E35" s="1" t="s">
        <v>13</v>
      </c>
    </row>
    <row r="36">
      <c r="A36" s="2">
        <v>453.0</v>
      </c>
      <c r="B36" s="11">
        <v>200.0</v>
      </c>
      <c r="C36" s="4">
        <v>35.6</v>
      </c>
      <c r="D36" s="9">
        <v>7120.0</v>
      </c>
      <c r="E36" s="1" t="s">
        <v>13</v>
      </c>
    </row>
    <row r="37">
      <c r="A37" s="2">
        <v>454.0</v>
      </c>
      <c r="B37" s="7">
        <v>292.0</v>
      </c>
      <c r="C37" s="4">
        <v>59.21</v>
      </c>
      <c r="D37" s="9">
        <v>17289.32</v>
      </c>
      <c r="E37" s="1" t="s">
        <v>13</v>
      </c>
    </row>
    <row r="38">
      <c r="A38" s="2">
        <v>456.0</v>
      </c>
      <c r="B38" s="7">
        <v>1312.0</v>
      </c>
      <c r="C38" s="4">
        <v>19.25</v>
      </c>
      <c r="D38" s="9">
        <v>25256.0</v>
      </c>
      <c r="E38" s="1" t="s">
        <v>55</v>
      </c>
    </row>
    <row r="39">
      <c r="A39" s="2">
        <v>457.0</v>
      </c>
      <c r="B39" s="7">
        <v>108.0</v>
      </c>
      <c r="C39" s="4">
        <v>10.0</v>
      </c>
      <c r="D39" s="9">
        <v>1080.0</v>
      </c>
      <c r="E39" s="1" t="s">
        <v>55</v>
      </c>
    </row>
    <row r="40">
      <c r="A40" s="2">
        <v>461.0</v>
      </c>
      <c r="B40" s="7">
        <v>35.0</v>
      </c>
      <c r="C40" s="4">
        <v>81.11</v>
      </c>
      <c r="D40" s="9">
        <v>2838.85</v>
      </c>
      <c r="E40" s="1" t="s">
        <v>41</v>
      </c>
    </row>
    <row r="41">
      <c r="A41" s="2">
        <v>462.0</v>
      </c>
      <c r="B41" s="7">
        <v>13877.0</v>
      </c>
      <c r="C41" s="4">
        <v>11.15</v>
      </c>
      <c r="D41" s="9">
        <v>154728.55000000002</v>
      </c>
      <c r="E41" s="1" t="s">
        <v>55</v>
      </c>
    </row>
    <row r="42">
      <c r="A42" s="2">
        <v>463.0</v>
      </c>
      <c r="B42" s="7">
        <v>1580.0</v>
      </c>
      <c r="C42" s="4">
        <v>15.41</v>
      </c>
      <c r="D42" s="9">
        <v>24347.8</v>
      </c>
      <c r="E42" s="1" t="s">
        <v>13</v>
      </c>
    </row>
    <row r="43">
      <c r="A43" s="2">
        <v>473.0</v>
      </c>
      <c r="B43" s="7">
        <v>416.0</v>
      </c>
      <c r="C43" s="4">
        <v>35.81</v>
      </c>
      <c r="D43" s="9">
        <v>14896.960000000001</v>
      </c>
      <c r="E43" s="1" t="s">
        <v>13</v>
      </c>
    </row>
    <row r="44">
      <c r="A44" s="2">
        <v>474.0</v>
      </c>
      <c r="B44" s="7">
        <v>320.0</v>
      </c>
      <c r="C44" s="4">
        <v>33.5</v>
      </c>
      <c r="D44" s="9">
        <v>10720.0</v>
      </c>
      <c r="E44" s="1" t="s">
        <v>13</v>
      </c>
    </row>
    <row r="45">
      <c r="A45" s="2">
        <v>482.0</v>
      </c>
      <c r="B45" s="7">
        <v>370.0</v>
      </c>
      <c r="C45" s="4">
        <v>48.15</v>
      </c>
      <c r="D45" s="9">
        <v>17815.5</v>
      </c>
      <c r="E45" s="1" t="s">
        <v>41</v>
      </c>
    </row>
    <row r="46">
      <c r="A46" s="2">
        <v>487.0</v>
      </c>
      <c r="B46" s="7">
        <v>554.0</v>
      </c>
      <c r="C46" s="4">
        <v>95.0</v>
      </c>
      <c r="D46" s="9">
        <v>52630.0</v>
      </c>
      <c r="E46" s="1" t="s">
        <v>41</v>
      </c>
    </row>
    <row r="47">
      <c r="A47" s="2">
        <v>488.0</v>
      </c>
      <c r="B47" s="7">
        <v>0.0</v>
      </c>
      <c r="C47" s="4">
        <v>151.25</v>
      </c>
      <c r="D47" s="9">
        <v>0.0</v>
      </c>
      <c r="E47" s="1" t="s">
        <v>41</v>
      </c>
    </row>
    <row r="48">
      <c r="A48" s="2">
        <v>489.0</v>
      </c>
      <c r="B48" s="7">
        <v>40.0</v>
      </c>
      <c r="C48" s="4">
        <v>152.5</v>
      </c>
      <c r="D48" s="9">
        <v>6100.0</v>
      </c>
      <c r="E48" s="1" t="s">
        <v>41</v>
      </c>
    </row>
    <row r="49">
      <c r="A49" s="2">
        <v>490.0</v>
      </c>
      <c r="B49" s="7">
        <v>150.0</v>
      </c>
      <c r="C49" s="4">
        <v>172.85</v>
      </c>
      <c r="D49" s="9">
        <v>25927.5</v>
      </c>
      <c r="E49" s="1" t="s">
        <v>41</v>
      </c>
    </row>
    <row r="50">
      <c r="A50" s="2">
        <v>491.0</v>
      </c>
      <c r="B50" s="7">
        <v>13057.0</v>
      </c>
      <c r="C50" s="4">
        <v>21.25</v>
      </c>
      <c r="D50" s="9">
        <v>277461.25</v>
      </c>
      <c r="E50" s="1" t="s">
        <v>55</v>
      </c>
    </row>
    <row r="51">
      <c r="A51" s="2">
        <v>492.0</v>
      </c>
      <c r="B51" s="7">
        <v>446.0</v>
      </c>
      <c r="C51" s="4">
        <v>18.25</v>
      </c>
      <c r="D51" s="9">
        <v>8139.5</v>
      </c>
      <c r="E51" s="1" t="s">
        <v>55</v>
      </c>
    </row>
    <row r="52">
      <c r="A52" s="2">
        <v>493.0</v>
      </c>
      <c r="B52" s="7">
        <v>964.0</v>
      </c>
      <c r="C52" s="4">
        <v>11.25</v>
      </c>
      <c r="D52" s="9">
        <v>10845.0</v>
      </c>
      <c r="E52" s="1" t="s">
        <v>55</v>
      </c>
    </row>
    <row r="53">
      <c r="A53" s="2">
        <v>494.0</v>
      </c>
      <c r="B53" s="7">
        <v>398.0</v>
      </c>
      <c r="C53" s="4">
        <v>16.75</v>
      </c>
      <c r="D53" s="9">
        <v>6666.5</v>
      </c>
      <c r="E53" s="1" t="s">
        <v>55</v>
      </c>
    </row>
    <row r="54">
      <c r="A54" s="2">
        <v>495.0</v>
      </c>
      <c r="B54" s="7">
        <v>420.0</v>
      </c>
      <c r="C54" s="4">
        <v>17.75</v>
      </c>
      <c r="D54" s="9">
        <v>7455.0</v>
      </c>
      <c r="E54" s="1" t="s">
        <v>55</v>
      </c>
    </row>
    <row r="55">
      <c r="A55" s="2">
        <v>498.0</v>
      </c>
      <c r="B55" s="7">
        <v>940.0</v>
      </c>
      <c r="C55" s="4">
        <v>14.25</v>
      </c>
      <c r="D55" s="9">
        <v>13395.0</v>
      </c>
      <c r="E55" s="1" t="s">
        <v>55</v>
      </c>
    </row>
    <row r="56">
      <c r="A56" s="2">
        <v>499.0</v>
      </c>
      <c r="B56" s="7">
        <v>5183.0</v>
      </c>
      <c r="C56" s="4">
        <v>32.75</v>
      </c>
      <c r="D56" s="9">
        <v>169743.25</v>
      </c>
      <c r="E56" s="1" t="s">
        <v>13</v>
      </c>
    </row>
    <row r="57">
      <c r="A57" s="2">
        <v>504.0</v>
      </c>
      <c r="B57" s="7">
        <v>514.0</v>
      </c>
      <c r="C57" s="4">
        <v>12.75</v>
      </c>
      <c r="D57" s="9">
        <v>6553.5</v>
      </c>
      <c r="E57" s="1" t="s">
        <v>13</v>
      </c>
    </row>
    <row r="58">
      <c r="A58" s="2">
        <v>507.0</v>
      </c>
      <c r="B58" s="7">
        <v>0.0</v>
      </c>
      <c r="C58" s="4">
        <v>33.61</v>
      </c>
      <c r="D58" s="9">
        <v>0.0</v>
      </c>
      <c r="E58" s="1" t="s">
        <v>13</v>
      </c>
    </row>
    <row r="59">
      <c r="A59" s="2">
        <v>508.0</v>
      </c>
      <c r="B59" s="7">
        <v>1059.0</v>
      </c>
      <c r="C59" s="4">
        <v>16.11</v>
      </c>
      <c r="D59" s="9">
        <v>17060.489999999998</v>
      </c>
      <c r="E59" s="1" t="s">
        <v>13</v>
      </c>
    </row>
    <row r="60">
      <c r="A60" s="2">
        <v>510.0</v>
      </c>
      <c r="B60" s="21">
        <v>897.0</v>
      </c>
      <c r="C60" s="4">
        <v>65.0</v>
      </c>
      <c r="D60" s="9">
        <v>58305.0</v>
      </c>
      <c r="E60" s="1" t="s">
        <v>41</v>
      </c>
    </row>
    <row r="61">
      <c r="A61" s="2">
        <v>511.0</v>
      </c>
      <c r="B61" s="21">
        <v>32.0</v>
      </c>
      <c r="C61" s="4">
        <v>161.25</v>
      </c>
      <c r="D61" s="9">
        <v>5160.0</v>
      </c>
      <c r="E61" s="1" t="s">
        <v>41</v>
      </c>
    </row>
    <row r="62">
      <c r="A62" s="2">
        <v>512.0</v>
      </c>
      <c r="B62" s="7">
        <v>1380.0</v>
      </c>
      <c r="C62" s="4">
        <v>16.25</v>
      </c>
      <c r="D62" s="9">
        <v>22425.0</v>
      </c>
      <c r="E62" s="1" t="s">
        <v>55</v>
      </c>
    </row>
    <row r="63">
      <c r="A63" s="2">
        <v>514.0</v>
      </c>
      <c r="B63" s="7">
        <v>5718.0</v>
      </c>
      <c r="C63" s="4">
        <v>15.75</v>
      </c>
      <c r="D63" s="9">
        <v>90058.5</v>
      </c>
      <c r="E63" s="1" t="s">
        <v>13</v>
      </c>
    </row>
    <row r="64">
      <c r="A64" s="2">
        <v>516.0</v>
      </c>
      <c r="B64" s="7">
        <v>210.0</v>
      </c>
      <c r="C64" s="4">
        <v>20.0</v>
      </c>
      <c r="D64" s="9">
        <v>4200.0</v>
      </c>
      <c r="E64" s="1" t="s">
        <v>13</v>
      </c>
    </row>
    <row r="65">
      <c r="A65" s="2">
        <v>517.0</v>
      </c>
      <c r="B65" s="7">
        <v>1769.0</v>
      </c>
      <c r="C65" s="4">
        <v>19.25</v>
      </c>
      <c r="D65" s="9">
        <v>34053.25</v>
      </c>
      <c r="E65" s="1" t="s">
        <v>13</v>
      </c>
    </row>
    <row r="66">
      <c r="A66" s="2">
        <v>522.0</v>
      </c>
      <c r="B66" s="21">
        <v>245.0</v>
      </c>
      <c r="C66" s="4">
        <v>23.75</v>
      </c>
      <c r="D66" s="9">
        <v>5818.75</v>
      </c>
      <c r="E66" s="1" t="s">
        <v>13</v>
      </c>
    </row>
    <row r="67">
      <c r="A67" s="2">
        <v>526.0</v>
      </c>
      <c r="B67" s="21">
        <v>1152.0</v>
      </c>
      <c r="C67" s="4">
        <v>21.36</v>
      </c>
      <c r="D67" s="9">
        <v>24606.72</v>
      </c>
      <c r="E67" s="1" t="s">
        <v>13</v>
      </c>
    </row>
    <row r="68">
      <c r="A68" s="2">
        <v>532.0</v>
      </c>
      <c r="B68" s="21">
        <v>70.0</v>
      </c>
      <c r="C68" s="4">
        <v>20.11</v>
      </c>
      <c r="D68" s="9">
        <v>1407.7</v>
      </c>
      <c r="E68" s="1" t="s">
        <v>13</v>
      </c>
    </row>
    <row r="69">
      <c r="A69" s="2">
        <v>533.0</v>
      </c>
      <c r="B69" s="21">
        <v>0.0</v>
      </c>
      <c r="C69" s="4">
        <v>65.25</v>
      </c>
      <c r="D69" s="9">
        <v>0.0</v>
      </c>
      <c r="E69" s="1" t="s">
        <v>41</v>
      </c>
    </row>
    <row r="70">
      <c r="A70" s="2">
        <v>537.0</v>
      </c>
      <c r="B70" s="21">
        <v>1050.0</v>
      </c>
      <c r="C70" s="4">
        <v>30.0</v>
      </c>
      <c r="D70" s="9">
        <v>31500.0</v>
      </c>
      <c r="E70" s="1" t="s">
        <v>13</v>
      </c>
    </row>
    <row r="71">
      <c r="A71" s="2">
        <v>538.0</v>
      </c>
      <c r="B71" s="21">
        <v>400.0</v>
      </c>
      <c r="C71" s="4">
        <v>17.01</v>
      </c>
      <c r="D71" s="9">
        <v>6804.000000000001</v>
      </c>
      <c r="E71" s="1" t="s">
        <v>13</v>
      </c>
    </row>
    <row r="72">
      <c r="A72" s="2">
        <v>539.0</v>
      </c>
      <c r="B72" s="21">
        <v>1100.0</v>
      </c>
      <c r="C72" s="4">
        <v>14.71</v>
      </c>
      <c r="D72" s="9">
        <v>16181.000000000002</v>
      </c>
      <c r="E72" s="1" t="s">
        <v>13</v>
      </c>
    </row>
    <row r="73">
      <c r="A73" s="2">
        <v>540.0</v>
      </c>
      <c r="B73" s="21">
        <v>80.0</v>
      </c>
      <c r="C73" s="4">
        <v>81.65</v>
      </c>
      <c r="D73" s="9">
        <v>6532.0</v>
      </c>
      <c r="E73" s="1" t="s">
        <v>41</v>
      </c>
    </row>
    <row r="74">
      <c r="A74" s="2">
        <v>542.0</v>
      </c>
      <c r="B74" s="21">
        <v>540.0</v>
      </c>
      <c r="C74" s="4">
        <v>27.61</v>
      </c>
      <c r="D74" s="9">
        <v>14909.4</v>
      </c>
      <c r="E74" s="1" t="s">
        <v>13</v>
      </c>
    </row>
    <row r="75">
      <c r="A75" s="2">
        <v>543.0</v>
      </c>
      <c r="B75" s="21">
        <v>337.0</v>
      </c>
      <c r="C75" s="4">
        <v>27.0</v>
      </c>
      <c r="D75" s="9">
        <v>9099.0</v>
      </c>
      <c r="E75" s="1" t="s">
        <v>13</v>
      </c>
    </row>
    <row r="76">
      <c r="A76" s="2">
        <v>545.0</v>
      </c>
      <c r="B76" s="21">
        <v>340.0</v>
      </c>
      <c r="C76" s="4">
        <v>42.0</v>
      </c>
      <c r="D76" s="9">
        <v>14280.0</v>
      </c>
      <c r="E76" s="1" t="s">
        <v>13</v>
      </c>
    </row>
    <row r="77">
      <c r="A77" s="2">
        <v>547.0</v>
      </c>
      <c r="B77" s="21">
        <v>0.0</v>
      </c>
      <c r="C77" s="4">
        <v>120.65</v>
      </c>
      <c r="D77" s="9">
        <v>0.0</v>
      </c>
      <c r="E77" s="1" t="s">
        <v>41</v>
      </c>
    </row>
    <row r="78">
      <c r="A78" s="2">
        <v>550.0</v>
      </c>
      <c r="B78" s="21">
        <v>150.0</v>
      </c>
      <c r="C78" s="4">
        <v>89.0</v>
      </c>
      <c r="D78" s="9">
        <v>13350.0</v>
      </c>
      <c r="E78" s="1" t="s">
        <v>41</v>
      </c>
    </row>
    <row r="79">
      <c r="A79" s="2">
        <v>551.0</v>
      </c>
      <c r="B79" s="21">
        <v>150.0</v>
      </c>
      <c r="C79" s="4">
        <v>80.65</v>
      </c>
      <c r="D79" s="9">
        <v>12097.5</v>
      </c>
      <c r="E79" s="1" t="s">
        <v>41</v>
      </c>
    </row>
    <row r="80">
      <c r="A80" s="2">
        <v>553.0</v>
      </c>
      <c r="B80" s="21">
        <v>150.0</v>
      </c>
      <c r="C80" s="4">
        <v>55.65</v>
      </c>
      <c r="D80" s="9">
        <v>8347.5</v>
      </c>
      <c r="E80" s="1" t="s">
        <v>41</v>
      </c>
    </row>
    <row r="81">
      <c r="A81" s="2">
        <v>14001.0</v>
      </c>
      <c r="B81" s="11">
        <v>120.0</v>
      </c>
      <c r="C81" s="4">
        <v>59.25</v>
      </c>
      <c r="D81" s="9">
        <v>7110.0</v>
      </c>
      <c r="E81" s="1" t="s">
        <v>41</v>
      </c>
    </row>
    <row r="82">
      <c r="A82" s="2">
        <v>14009.0</v>
      </c>
      <c r="B82" s="11">
        <v>2151.0</v>
      </c>
      <c r="C82" s="4">
        <v>79.95</v>
      </c>
      <c r="D82" s="9">
        <v>171972.45</v>
      </c>
      <c r="E82" s="1" t="s">
        <v>41</v>
      </c>
    </row>
    <row r="83">
      <c r="A83" s="2">
        <v>14030.0</v>
      </c>
      <c r="B83" s="7">
        <v>39.0</v>
      </c>
      <c r="C83" s="4">
        <v>89.05</v>
      </c>
      <c r="D83" s="9">
        <v>3472.95</v>
      </c>
      <c r="E83" s="1" t="s">
        <v>41</v>
      </c>
    </row>
    <row r="84">
      <c r="A84" s="2">
        <v>14033.0</v>
      </c>
      <c r="B84" s="7">
        <v>277.0</v>
      </c>
      <c r="C84" s="4">
        <v>88.25</v>
      </c>
      <c r="D84" s="9">
        <v>24445.25</v>
      </c>
      <c r="E84" s="1" t="s">
        <v>41</v>
      </c>
    </row>
    <row r="85">
      <c r="A85" s="2" t="s">
        <v>59</v>
      </c>
      <c r="B85" s="7">
        <v>181039.0</v>
      </c>
      <c r="C85" s="25"/>
      <c r="D85" s="7">
        <v>4494873.550000003</v>
      </c>
    </row>
    <row r="89">
      <c r="A89" s="2" t="s">
        <v>1</v>
      </c>
      <c r="B89" s="3" t="s">
        <v>4</v>
      </c>
      <c r="C89" s="4" t="s">
        <v>7</v>
      </c>
      <c r="D89" s="6" t="s">
        <v>8</v>
      </c>
      <c r="E89" s="1" t="s">
        <v>9</v>
      </c>
      <c r="F89" s="26">
        <v>45209.0</v>
      </c>
    </row>
    <row r="90">
      <c r="A90" s="2" t="s">
        <v>11</v>
      </c>
      <c r="B90" s="7">
        <v>8981.0</v>
      </c>
      <c r="C90" s="4">
        <v>7.76</v>
      </c>
      <c r="D90" s="9">
        <v>69692.56</v>
      </c>
      <c r="E90" s="1" t="s">
        <v>13</v>
      </c>
    </row>
    <row r="91">
      <c r="A91" s="2" t="s">
        <v>14</v>
      </c>
      <c r="B91" s="11">
        <v>5346.0</v>
      </c>
      <c r="C91" s="4">
        <v>13.16</v>
      </c>
      <c r="D91" s="9">
        <v>70353.36</v>
      </c>
      <c r="E91" s="1" t="s">
        <v>13</v>
      </c>
    </row>
    <row r="92">
      <c r="A92" s="2">
        <v>325.0</v>
      </c>
      <c r="B92" s="11">
        <v>28.0</v>
      </c>
      <c r="C92" s="4">
        <v>18.0</v>
      </c>
      <c r="D92" s="9">
        <v>504.0</v>
      </c>
      <c r="E92" s="1" t="s">
        <v>13</v>
      </c>
    </row>
    <row r="93">
      <c r="A93" s="2">
        <v>329.0</v>
      </c>
      <c r="B93" s="7">
        <v>55.0</v>
      </c>
      <c r="C93" s="4">
        <v>17.5</v>
      </c>
      <c r="D93" s="9">
        <v>962.5</v>
      </c>
      <c r="E93" s="1" t="s">
        <v>13</v>
      </c>
    </row>
    <row r="94">
      <c r="A94" s="2" t="s">
        <v>26</v>
      </c>
      <c r="B94" s="11">
        <v>18177.0</v>
      </c>
      <c r="C94" s="4">
        <v>18.2</v>
      </c>
      <c r="D94" s="9">
        <v>330821.39999999997</v>
      </c>
      <c r="E94" s="1" t="s">
        <v>13</v>
      </c>
    </row>
    <row r="95">
      <c r="A95" s="2">
        <v>336.0</v>
      </c>
      <c r="B95" s="27">
        <v>0.0</v>
      </c>
      <c r="C95" s="4">
        <v>18.33</v>
      </c>
      <c r="D95" s="9">
        <v>0.0</v>
      </c>
      <c r="E95" s="1" t="s">
        <v>13</v>
      </c>
    </row>
    <row r="96">
      <c r="A96" s="2">
        <v>340.0</v>
      </c>
      <c r="B96" s="11">
        <v>213.0</v>
      </c>
      <c r="C96" s="4">
        <v>14.75</v>
      </c>
      <c r="D96" s="9">
        <v>3141.75</v>
      </c>
      <c r="E96" s="1" t="s">
        <v>13</v>
      </c>
    </row>
    <row r="97">
      <c r="A97" s="2">
        <v>362.0</v>
      </c>
      <c r="B97" s="15">
        <v>20276.0</v>
      </c>
      <c r="C97" s="4">
        <v>25.0</v>
      </c>
      <c r="D97" s="9">
        <v>506900.0</v>
      </c>
      <c r="E97" s="1" t="s">
        <v>13</v>
      </c>
    </row>
    <row r="98">
      <c r="A98" s="2">
        <v>367.0</v>
      </c>
      <c r="B98" s="11">
        <v>15559.0</v>
      </c>
      <c r="C98" s="4">
        <v>19.0</v>
      </c>
      <c r="D98" s="9">
        <v>295621.0</v>
      </c>
      <c r="E98" s="1" t="s">
        <v>13</v>
      </c>
    </row>
    <row r="99">
      <c r="A99" s="2">
        <v>373.0</v>
      </c>
      <c r="B99" s="27">
        <v>0.0</v>
      </c>
      <c r="C99" s="4">
        <v>22.45</v>
      </c>
      <c r="D99" s="9">
        <v>0.0</v>
      </c>
      <c r="E99" s="1" t="s">
        <v>13</v>
      </c>
    </row>
    <row r="100">
      <c r="A100" s="2">
        <v>374.0</v>
      </c>
      <c r="B100" s="27">
        <v>0.0</v>
      </c>
      <c r="C100" s="4">
        <v>19.05</v>
      </c>
      <c r="D100" s="9">
        <v>0.0</v>
      </c>
      <c r="E100" s="1" t="s">
        <v>13</v>
      </c>
    </row>
    <row r="101">
      <c r="A101" s="2">
        <v>376.0</v>
      </c>
      <c r="B101" s="27">
        <v>0.0</v>
      </c>
      <c r="C101" s="4">
        <v>16.25</v>
      </c>
      <c r="D101" s="9">
        <v>0.0</v>
      </c>
      <c r="E101" s="1" t="s">
        <v>13</v>
      </c>
    </row>
    <row r="102">
      <c r="A102" s="2">
        <v>380.0</v>
      </c>
      <c r="B102" s="11">
        <v>2026.0</v>
      </c>
      <c r="C102" s="4">
        <v>105.0</v>
      </c>
      <c r="D102" s="9">
        <v>212730.0</v>
      </c>
      <c r="E102" s="1" t="s">
        <v>41</v>
      </c>
    </row>
    <row r="103">
      <c r="A103" s="2">
        <v>388.0</v>
      </c>
      <c r="B103" s="11">
        <v>1707.0</v>
      </c>
      <c r="C103" s="4">
        <v>13.76</v>
      </c>
      <c r="D103" s="9">
        <v>23488.32</v>
      </c>
      <c r="E103" s="1" t="s">
        <v>13</v>
      </c>
    </row>
    <row r="104">
      <c r="A104" s="2" t="s">
        <v>44</v>
      </c>
      <c r="B104" s="27">
        <v>0.0</v>
      </c>
      <c r="C104" s="4">
        <v>17.6</v>
      </c>
      <c r="D104" s="9">
        <v>0.0</v>
      </c>
      <c r="E104" s="1" t="s">
        <v>13</v>
      </c>
    </row>
    <row r="105">
      <c r="A105" s="2">
        <v>389.0</v>
      </c>
      <c r="B105" s="27">
        <v>0.0</v>
      </c>
      <c r="C105" s="4">
        <v>21.24</v>
      </c>
      <c r="D105" s="9">
        <v>0.0</v>
      </c>
      <c r="E105" s="1" t="s">
        <v>13</v>
      </c>
    </row>
    <row r="106">
      <c r="A106" s="2">
        <v>393.0</v>
      </c>
      <c r="B106" s="27">
        <v>0.0</v>
      </c>
      <c r="C106" s="4">
        <v>22.75</v>
      </c>
      <c r="D106" s="9">
        <v>0.0</v>
      </c>
      <c r="E106" s="1" t="s">
        <v>13</v>
      </c>
    </row>
    <row r="107">
      <c r="A107" s="2">
        <v>394.0</v>
      </c>
      <c r="B107" s="11">
        <v>1516.0</v>
      </c>
      <c r="C107" s="4">
        <v>21.91</v>
      </c>
      <c r="D107" s="9">
        <v>33215.56</v>
      </c>
      <c r="E107" s="1" t="s">
        <v>13</v>
      </c>
    </row>
    <row r="108">
      <c r="A108" s="2">
        <v>395.0</v>
      </c>
      <c r="B108" s="7">
        <v>400.0</v>
      </c>
      <c r="C108" s="4">
        <v>20.41</v>
      </c>
      <c r="D108" s="9">
        <v>8164.0</v>
      </c>
      <c r="E108" s="1" t="s">
        <v>13</v>
      </c>
    </row>
    <row r="109">
      <c r="A109" s="2">
        <v>398.0</v>
      </c>
      <c r="B109" s="3">
        <v>0.0</v>
      </c>
      <c r="C109" s="4">
        <v>18.31</v>
      </c>
      <c r="D109" s="9">
        <v>0.0</v>
      </c>
      <c r="E109" s="1" t="s">
        <v>13</v>
      </c>
    </row>
    <row r="110">
      <c r="A110" s="2">
        <v>407.0</v>
      </c>
      <c r="B110" s="3">
        <v>0.0</v>
      </c>
      <c r="C110" s="4">
        <v>16.61</v>
      </c>
      <c r="D110" s="9">
        <v>0.0</v>
      </c>
      <c r="E110" s="1" t="s">
        <v>13</v>
      </c>
    </row>
    <row r="111">
      <c r="A111" s="2">
        <v>412.0</v>
      </c>
      <c r="B111" s="7">
        <v>2702.0</v>
      </c>
      <c r="C111" s="4">
        <v>50.25</v>
      </c>
      <c r="D111" s="9">
        <v>135775.5</v>
      </c>
      <c r="E111" s="1" t="s">
        <v>41</v>
      </c>
    </row>
    <row r="112">
      <c r="A112" s="2">
        <v>421.0</v>
      </c>
      <c r="B112" s="7">
        <v>222.0</v>
      </c>
      <c r="C112" s="4">
        <v>25.25</v>
      </c>
      <c r="D112" s="9">
        <v>5605.5</v>
      </c>
      <c r="E112" s="1" t="s">
        <v>13</v>
      </c>
    </row>
    <row r="113">
      <c r="A113" s="2">
        <v>427.0</v>
      </c>
      <c r="B113" s="7">
        <v>323.0</v>
      </c>
      <c r="C113" s="4">
        <v>61.25</v>
      </c>
      <c r="D113" s="9">
        <v>19783.75</v>
      </c>
      <c r="E113" s="1" t="s">
        <v>41</v>
      </c>
    </row>
    <row r="114">
      <c r="A114" s="2">
        <v>430.0</v>
      </c>
      <c r="B114" s="7">
        <v>1080.0</v>
      </c>
      <c r="C114" s="4">
        <v>27.7</v>
      </c>
      <c r="D114" s="9">
        <v>29916.0</v>
      </c>
      <c r="E114" s="1" t="s">
        <v>13</v>
      </c>
    </row>
    <row r="115">
      <c r="A115" s="2">
        <v>432.0</v>
      </c>
      <c r="B115" s="3">
        <v>0.0</v>
      </c>
      <c r="C115" s="4">
        <v>13.5</v>
      </c>
      <c r="D115" s="9">
        <v>0.0</v>
      </c>
      <c r="E115" s="1" t="s">
        <v>13</v>
      </c>
    </row>
    <row r="116">
      <c r="A116" s="2">
        <v>437.0</v>
      </c>
      <c r="B116" s="7">
        <v>4704.0</v>
      </c>
      <c r="C116" s="4">
        <v>96.25</v>
      </c>
      <c r="D116" s="9">
        <v>452760.0</v>
      </c>
      <c r="E116" s="1" t="s">
        <v>41</v>
      </c>
    </row>
    <row r="117">
      <c r="A117" s="2">
        <v>439.0</v>
      </c>
      <c r="B117" s="7">
        <v>19162.0</v>
      </c>
      <c r="C117" s="4">
        <v>26.41</v>
      </c>
      <c r="D117" s="9">
        <v>506068.42</v>
      </c>
      <c r="E117" s="1" t="s">
        <v>13</v>
      </c>
    </row>
    <row r="118">
      <c r="A118" s="2">
        <v>441.0</v>
      </c>
      <c r="B118" s="3">
        <v>0.0</v>
      </c>
      <c r="C118" s="4">
        <v>16.6</v>
      </c>
      <c r="D118" s="9">
        <v>0.0</v>
      </c>
      <c r="E118" s="1" t="s">
        <v>13</v>
      </c>
    </row>
    <row r="119">
      <c r="A119" s="2">
        <v>444.0</v>
      </c>
      <c r="B119" s="11">
        <v>269.0</v>
      </c>
      <c r="C119" s="4">
        <v>14.36</v>
      </c>
      <c r="D119" s="9">
        <v>3862.8399999999997</v>
      </c>
      <c r="E119" s="1" t="s">
        <v>13</v>
      </c>
    </row>
    <row r="120">
      <c r="A120" s="2">
        <v>448.0</v>
      </c>
      <c r="B120" s="7">
        <v>5431.0</v>
      </c>
      <c r="C120" s="4">
        <v>39.0</v>
      </c>
      <c r="D120" s="9">
        <v>211809.0</v>
      </c>
      <c r="E120" s="1" t="s">
        <v>13</v>
      </c>
    </row>
    <row r="121">
      <c r="A121" s="2">
        <v>450.0</v>
      </c>
      <c r="B121" s="11">
        <v>9366.0</v>
      </c>
      <c r="C121" s="4">
        <v>19.61</v>
      </c>
      <c r="D121" s="9">
        <v>183667.25999999998</v>
      </c>
      <c r="E121" s="1" t="s">
        <v>13</v>
      </c>
    </row>
    <row r="122">
      <c r="A122" s="2">
        <v>451.0</v>
      </c>
      <c r="B122" s="11">
        <v>365.0</v>
      </c>
      <c r="C122" s="4">
        <v>31.5</v>
      </c>
      <c r="D122" s="9">
        <v>11497.5</v>
      </c>
      <c r="E122" s="1" t="s">
        <v>13</v>
      </c>
    </row>
    <row r="123">
      <c r="A123" s="2">
        <v>452.0</v>
      </c>
      <c r="B123" s="11">
        <v>1535.0</v>
      </c>
      <c r="C123" s="4">
        <v>26.11</v>
      </c>
      <c r="D123" s="9">
        <v>40078.85</v>
      </c>
      <c r="E123" s="1" t="s">
        <v>13</v>
      </c>
    </row>
    <row r="124">
      <c r="A124" s="2">
        <v>453.0</v>
      </c>
      <c r="B124" s="11">
        <v>200.0</v>
      </c>
      <c r="C124" s="4">
        <v>35.6</v>
      </c>
      <c r="D124" s="9">
        <v>7120.0</v>
      </c>
      <c r="E124" s="1" t="s">
        <v>13</v>
      </c>
    </row>
    <row r="125">
      <c r="A125" s="2">
        <v>454.0</v>
      </c>
      <c r="B125" s="7">
        <v>292.0</v>
      </c>
      <c r="C125" s="4">
        <v>59.21</v>
      </c>
      <c r="D125" s="9">
        <v>17289.32</v>
      </c>
      <c r="E125" s="1" t="s">
        <v>13</v>
      </c>
    </row>
    <row r="126">
      <c r="A126" s="2">
        <v>456.0</v>
      </c>
      <c r="B126" s="7">
        <v>1856.0</v>
      </c>
      <c r="C126" s="4">
        <v>19.25</v>
      </c>
      <c r="D126" s="9">
        <v>35728.0</v>
      </c>
      <c r="E126" s="1" t="s">
        <v>55</v>
      </c>
    </row>
    <row r="127">
      <c r="A127" s="2">
        <v>457.0</v>
      </c>
      <c r="B127" s="7">
        <v>108.0</v>
      </c>
      <c r="C127" s="4">
        <v>10.0</v>
      </c>
      <c r="D127" s="9">
        <v>1080.0</v>
      </c>
      <c r="E127" s="1" t="s">
        <v>55</v>
      </c>
    </row>
    <row r="128">
      <c r="A128" s="2">
        <v>461.0</v>
      </c>
      <c r="B128" s="7">
        <v>100.0</v>
      </c>
      <c r="C128" s="4">
        <v>81.11</v>
      </c>
      <c r="D128" s="9">
        <v>8111.0</v>
      </c>
      <c r="E128" s="1" t="s">
        <v>41</v>
      </c>
    </row>
    <row r="129">
      <c r="A129" s="2">
        <v>462.0</v>
      </c>
      <c r="B129" s="7">
        <v>17921.0</v>
      </c>
      <c r="C129" s="4">
        <v>11.15</v>
      </c>
      <c r="D129" s="9">
        <v>199819.15</v>
      </c>
      <c r="E129" s="1" t="s">
        <v>55</v>
      </c>
    </row>
    <row r="130">
      <c r="A130" s="2">
        <v>463.0</v>
      </c>
      <c r="B130" s="7">
        <v>2730.0</v>
      </c>
      <c r="C130" s="4">
        <v>15.41</v>
      </c>
      <c r="D130" s="9">
        <v>42069.3</v>
      </c>
      <c r="E130" s="1" t="s">
        <v>13</v>
      </c>
    </row>
    <row r="131">
      <c r="A131" s="2">
        <v>473.0</v>
      </c>
      <c r="B131" s="7">
        <v>433.0</v>
      </c>
      <c r="C131" s="4">
        <v>35.81</v>
      </c>
      <c r="D131" s="9">
        <v>15505.730000000001</v>
      </c>
      <c r="E131" s="1" t="s">
        <v>13</v>
      </c>
    </row>
    <row r="132">
      <c r="A132" s="2">
        <v>474.0</v>
      </c>
      <c r="B132" s="7">
        <v>210.0</v>
      </c>
      <c r="C132" s="4">
        <v>33.5</v>
      </c>
      <c r="D132" s="9">
        <v>7035.0</v>
      </c>
      <c r="E132" s="1" t="s">
        <v>13</v>
      </c>
    </row>
    <row r="133">
      <c r="A133" s="2">
        <v>482.0</v>
      </c>
      <c r="B133" s="7">
        <v>220.0</v>
      </c>
      <c r="C133" s="4">
        <v>48.15</v>
      </c>
      <c r="D133" s="9">
        <v>10593.0</v>
      </c>
      <c r="E133" s="1" t="s">
        <v>41</v>
      </c>
    </row>
    <row r="134">
      <c r="A134" s="2">
        <v>487.0</v>
      </c>
      <c r="B134" s="7">
        <v>515.0</v>
      </c>
      <c r="C134" s="4">
        <v>95.0</v>
      </c>
      <c r="D134" s="9">
        <v>48925.0</v>
      </c>
      <c r="E134" s="1" t="s">
        <v>41</v>
      </c>
    </row>
    <row r="135">
      <c r="A135" s="2">
        <v>488.0</v>
      </c>
      <c r="B135" s="7">
        <v>22.0</v>
      </c>
      <c r="C135" s="4">
        <v>151.25</v>
      </c>
      <c r="D135" s="9">
        <v>3327.5</v>
      </c>
      <c r="E135" s="1" t="s">
        <v>41</v>
      </c>
    </row>
    <row r="136">
      <c r="A136" s="2">
        <v>489.0</v>
      </c>
      <c r="B136" s="7">
        <v>40.0</v>
      </c>
      <c r="C136" s="4">
        <v>152.5</v>
      </c>
      <c r="D136" s="9">
        <v>6100.0</v>
      </c>
      <c r="E136" s="1" t="s">
        <v>41</v>
      </c>
    </row>
    <row r="137">
      <c r="A137" s="2">
        <v>490.0</v>
      </c>
      <c r="B137" s="7">
        <v>75.0</v>
      </c>
      <c r="C137" s="4">
        <v>172.85</v>
      </c>
      <c r="D137" s="9">
        <v>12963.75</v>
      </c>
      <c r="E137" s="1" t="s">
        <v>41</v>
      </c>
    </row>
    <row r="138">
      <c r="A138" s="2">
        <v>491.0</v>
      </c>
      <c r="B138" s="7">
        <v>8196.0</v>
      </c>
      <c r="C138" s="4">
        <v>21.25</v>
      </c>
      <c r="D138" s="9">
        <v>174165.0</v>
      </c>
      <c r="E138" s="1" t="s">
        <v>55</v>
      </c>
    </row>
    <row r="139">
      <c r="A139" s="2">
        <v>492.0</v>
      </c>
      <c r="B139" s="7">
        <v>446.0</v>
      </c>
      <c r="C139" s="4">
        <v>18.25</v>
      </c>
      <c r="D139" s="9">
        <v>8139.5</v>
      </c>
      <c r="E139" s="1" t="s">
        <v>55</v>
      </c>
    </row>
    <row r="140">
      <c r="A140" s="2">
        <v>493.0</v>
      </c>
      <c r="B140" s="7">
        <v>969.0</v>
      </c>
      <c r="C140" s="4">
        <v>11.25</v>
      </c>
      <c r="D140" s="9">
        <v>10901.25</v>
      </c>
      <c r="E140" s="1" t="s">
        <v>55</v>
      </c>
    </row>
    <row r="141">
      <c r="A141" s="2">
        <v>494.0</v>
      </c>
      <c r="B141" s="7">
        <v>1028.0</v>
      </c>
      <c r="C141" s="4">
        <v>16.75</v>
      </c>
      <c r="D141" s="9">
        <v>17219.0</v>
      </c>
      <c r="E141" s="1" t="s">
        <v>55</v>
      </c>
    </row>
    <row r="142">
      <c r="A142" s="2">
        <v>495.0</v>
      </c>
      <c r="B142" s="7">
        <v>970.0</v>
      </c>
      <c r="C142" s="4">
        <v>17.75</v>
      </c>
      <c r="D142" s="9">
        <v>17217.5</v>
      </c>
      <c r="E142" s="1" t="s">
        <v>55</v>
      </c>
    </row>
    <row r="143">
      <c r="A143" s="2">
        <v>498.0</v>
      </c>
      <c r="B143" s="7">
        <v>3710.0</v>
      </c>
      <c r="C143" s="4">
        <v>14.25</v>
      </c>
      <c r="D143" s="9">
        <v>52867.5</v>
      </c>
      <c r="E143" s="1" t="s">
        <v>55</v>
      </c>
    </row>
    <row r="144">
      <c r="A144" s="2">
        <v>499.0</v>
      </c>
      <c r="B144" s="7">
        <v>3624.0</v>
      </c>
      <c r="C144" s="4">
        <v>32.75</v>
      </c>
      <c r="D144" s="9">
        <v>118686.0</v>
      </c>
      <c r="E144" s="1" t="s">
        <v>13</v>
      </c>
    </row>
    <row r="145">
      <c r="A145" s="2">
        <v>504.0</v>
      </c>
      <c r="B145" s="7">
        <v>562.0</v>
      </c>
      <c r="C145" s="4">
        <v>12.75</v>
      </c>
      <c r="D145" s="9">
        <v>7165.5</v>
      </c>
      <c r="E145" s="1" t="s">
        <v>13</v>
      </c>
    </row>
    <row r="146">
      <c r="A146" s="2">
        <v>507.0</v>
      </c>
      <c r="B146" s="7">
        <v>230.0</v>
      </c>
      <c r="C146" s="4">
        <v>33.61</v>
      </c>
      <c r="D146" s="9">
        <v>7730.3</v>
      </c>
      <c r="E146" s="1" t="s">
        <v>13</v>
      </c>
    </row>
    <row r="147">
      <c r="A147" s="2">
        <v>508.0</v>
      </c>
      <c r="B147" s="7">
        <v>2679.0</v>
      </c>
      <c r="C147" s="4">
        <v>16.11</v>
      </c>
      <c r="D147" s="9">
        <v>43158.689999999995</v>
      </c>
      <c r="E147" s="1" t="s">
        <v>13</v>
      </c>
    </row>
    <row r="148">
      <c r="A148" s="2">
        <v>510.0</v>
      </c>
      <c r="B148" s="21">
        <v>1018.0</v>
      </c>
      <c r="C148" s="4">
        <v>65.0</v>
      </c>
      <c r="D148" s="9">
        <v>66170.0</v>
      </c>
      <c r="E148" s="1" t="s">
        <v>41</v>
      </c>
    </row>
    <row r="149">
      <c r="A149" s="2">
        <v>511.0</v>
      </c>
      <c r="B149" s="21">
        <v>35.0</v>
      </c>
      <c r="C149" s="4">
        <v>161.25</v>
      </c>
      <c r="D149" s="9">
        <v>5643.75</v>
      </c>
      <c r="E149" s="1" t="s">
        <v>41</v>
      </c>
    </row>
    <row r="150">
      <c r="A150" s="2">
        <v>512.0</v>
      </c>
      <c r="B150" s="7">
        <v>707.0</v>
      </c>
      <c r="C150" s="4">
        <v>16.25</v>
      </c>
      <c r="D150" s="9">
        <v>11488.75</v>
      </c>
      <c r="E150" s="1" t="s">
        <v>55</v>
      </c>
    </row>
    <row r="151">
      <c r="A151" s="2">
        <v>514.0</v>
      </c>
      <c r="B151" s="7">
        <v>2260.0</v>
      </c>
      <c r="C151" s="4">
        <v>15.75</v>
      </c>
      <c r="D151" s="9">
        <v>35595.0</v>
      </c>
      <c r="E151" s="1" t="s">
        <v>13</v>
      </c>
    </row>
    <row r="152">
      <c r="A152" s="2">
        <v>516.0</v>
      </c>
      <c r="B152" s="7">
        <v>170.0</v>
      </c>
      <c r="C152" s="4">
        <v>20.0</v>
      </c>
      <c r="D152" s="9">
        <v>3400.0</v>
      </c>
      <c r="E152" s="1" t="s">
        <v>13</v>
      </c>
    </row>
    <row r="153">
      <c r="A153" s="2">
        <v>517.0</v>
      </c>
      <c r="B153" s="7">
        <v>5102.0</v>
      </c>
      <c r="C153" s="4">
        <v>19.25</v>
      </c>
      <c r="D153" s="9">
        <v>98213.5</v>
      </c>
      <c r="E153" s="1" t="s">
        <v>13</v>
      </c>
    </row>
    <row r="154">
      <c r="A154" s="2">
        <v>522.0</v>
      </c>
      <c r="B154" s="21">
        <v>247.0</v>
      </c>
      <c r="C154" s="4">
        <v>23.75</v>
      </c>
      <c r="D154" s="9">
        <v>5866.25</v>
      </c>
      <c r="E154" s="1" t="s">
        <v>13</v>
      </c>
    </row>
    <row r="155">
      <c r="A155" s="2">
        <v>526.0</v>
      </c>
      <c r="B155" s="21">
        <v>1117.0</v>
      </c>
      <c r="C155" s="4">
        <v>21.36</v>
      </c>
      <c r="D155" s="9">
        <v>23859.12</v>
      </c>
      <c r="E155" s="1" t="s">
        <v>13</v>
      </c>
    </row>
    <row r="156">
      <c r="A156" s="2">
        <v>532.0</v>
      </c>
      <c r="B156" s="21">
        <v>70.0</v>
      </c>
      <c r="C156" s="4">
        <v>20.11</v>
      </c>
      <c r="D156" s="9">
        <v>1407.7</v>
      </c>
      <c r="E156" s="1" t="s">
        <v>13</v>
      </c>
    </row>
    <row r="157">
      <c r="A157" s="2">
        <v>533.0</v>
      </c>
      <c r="B157" s="21">
        <v>45.0</v>
      </c>
      <c r="C157" s="4">
        <v>65.25</v>
      </c>
      <c r="D157" s="9">
        <v>2936.25</v>
      </c>
      <c r="E157" s="1" t="s">
        <v>41</v>
      </c>
    </row>
    <row r="158">
      <c r="A158" s="2">
        <v>537.0</v>
      </c>
      <c r="B158" s="21">
        <v>1120.0</v>
      </c>
      <c r="C158" s="4">
        <v>30.0</v>
      </c>
      <c r="D158" s="9">
        <v>33600.0</v>
      </c>
      <c r="E158" s="1" t="s">
        <v>13</v>
      </c>
    </row>
    <row r="159">
      <c r="A159" s="2">
        <v>538.0</v>
      </c>
      <c r="B159" s="21">
        <v>400.0</v>
      </c>
      <c r="C159" s="4">
        <v>17.01</v>
      </c>
      <c r="D159" s="9">
        <v>6804.000000000001</v>
      </c>
      <c r="E159" s="1" t="s">
        <v>13</v>
      </c>
    </row>
    <row r="160">
      <c r="A160" s="2">
        <v>539.0</v>
      </c>
      <c r="B160" s="21">
        <v>976.0</v>
      </c>
      <c r="C160" s="4">
        <v>14.71</v>
      </c>
      <c r="D160" s="9">
        <v>14356.960000000001</v>
      </c>
      <c r="E160" s="1" t="s">
        <v>13</v>
      </c>
    </row>
    <row r="161">
      <c r="A161" s="2">
        <v>540.0</v>
      </c>
      <c r="B161" s="21">
        <v>60.0</v>
      </c>
      <c r="C161" s="4">
        <v>81.65</v>
      </c>
      <c r="D161" s="9">
        <v>4899.0</v>
      </c>
      <c r="E161" s="1" t="s">
        <v>41</v>
      </c>
    </row>
    <row r="162">
      <c r="A162" s="2">
        <v>542.0</v>
      </c>
      <c r="B162" s="21">
        <v>530.0</v>
      </c>
      <c r="C162" s="4">
        <v>27.61</v>
      </c>
      <c r="D162" s="9">
        <v>14633.3</v>
      </c>
      <c r="E162" s="1" t="s">
        <v>13</v>
      </c>
    </row>
    <row r="163">
      <c r="A163" s="2">
        <v>543.0</v>
      </c>
      <c r="B163" s="21">
        <v>269.0</v>
      </c>
      <c r="C163" s="4">
        <v>27.0</v>
      </c>
      <c r="D163" s="9">
        <v>7263.0</v>
      </c>
      <c r="E163" s="1" t="s">
        <v>13</v>
      </c>
    </row>
    <row r="164">
      <c r="A164" s="2">
        <v>545.0</v>
      </c>
      <c r="B164" s="21">
        <v>320.0</v>
      </c>
      <c r="C164" s="4">
        <v>42.0</v>
      </c>
      <c r="D164" s="9">
        <v>13440.0</v>
      </c>
      <c r="E164" s="1" t="s">
        <v>13</v>
      </c>
    </row>
    <row r="165">
      <c r="A165" s="2">
        <v>547.0</v>
      </c>
      <c r="B165" s="21">
        <v>0.0</v>
      </c>
      <c r="C165" s="4">
        <v>120.65</v>
      </c>
      <c r="D165" s="9">
        <v>0.0</v>
      </c>
      <c r="E165" s="1" t="s">
        <v>41</v>
      </c>
    </row>
    <row r="166">
      <c r="A166" s="2">
        <v>550.0</v>
      </c>
      <c r="B166" s="21">
        <v>150.0</v>
      </c>
      <c r="C166" s="4">
        <v>89.0</v>
      </c>
      <c r="D166" s="9">
        <v>13350.0</v>
      </c>
      <c r="E166" s="1" t="s">
        <v>41</v>
      </c>
    </row>
    <row r="167">
      <c r="A167" s="2">
        <v>551.0</v>
      </c>
      <c r="B167" s="21">
        <v>150.0</v>
      </c>
      <c r="C167" s="4">
        <v>80.65</v>
      </c>
      <c r="D167" s="9">
        <v>12097.5</v>
      </c>
      <c r="E167" s="1" t="s">
        <v>41</v>
      </c>
    </row>
    <row r="168">
      <c r="A168" s="2">
        <v>553.0</v>
      </c>
      <c r="B168" s="21">
        <v>150.0</v>
      </c>
      <c r="C168" s="4">
        <v>55.65</v>
      </c>
      <c r="D168" s="9">
        <v>8347.5</v>
      </c>
      <c r="E168" s="1" t="s">
        <v>41</v>
      </c>
    </row>
    <row r="169">
      <c r="A169" s="2">
        <v>569.0</v>
      </c>
      <c r="B169" s="21">
        <v>280.0</v>
      </c>
      <c r="C169" s="4">
        <v>23.5</v>
      </c>
      <c r="D169" s="9">
        <v>6580.0</v>
      </c>
      <c r="E169" s="1" t="s">
        <v>13</v>
      </c>
    </row>
    <row r="170">
      <c r="A170" s="2">
        <v>14001.0</v>
      </c>
      <c r="B170" s="11">
        <v>120.0</v>
      </c>
      <c r="C170" s="4">
        <v>59.25</v>
      </c>
      <c r="D170" s="9">
        <v>7110.0</v>
      </c>
      <c r="E170" s="1" t="s">
        <v>41</v>
      </c>
    </row>
    <row r="171">
      <c r="A171" s="2">
        <v>14009.0</v>
      </c>
      <c r="B171" s="11">
        <v>3326.0</v>
      </c>
      <c r="C171" s="4">
        <v>79.95</v>
      </c>
      <c r="D171" s="9">
        <v>265913.7</v>
      </c>
      <c r="E171" s="1" t="s">
        <v>41</v>
      </c>
    </row>
    <row r="172">
      <c r="A172" s="2">
        <v>14030.0</v>
      </c>
      <c r="B172" s="7">
        <v>39.0</v>
      </c>
      <c r="C172" s="4">
        <v>89.05</v>
      </c>
      <c r="D172" s="9">
        <v>3472.95</v>
      </c>
      <c r="E172" s="1" t="s">
        <v>41</v>
      </c>
    </row>
    <row r="173">
      <c r="A173" s="2">
        <v>14033.0</v>
      </c>
      <c r="B173" s="7">
        <v>309.0</v>
      </c>
      <c r="C173" s="4">
        <v>88.25</v>
      </c>
      <c r="D173" s="9">
        <v>27269.25</v>
      </c>
      <c r="E173" s="1" t="s">
        <v>41</v>
      </c>
    </row>
    <row r="174">
      <c r="A174" s="2" t="s">
        <v>59</v>
      </c>
      <c r="B174" s="7">
        <v>185549.0</v>
      </c>
      <c r="C174" s="25"/>
      <c r="D174" s="7">
        <v>4723053.539999999</v>
      </c>
    </row>
    <row r="177">
      <c r="A177" s="1" t="s">
        <v>1</v>
      </c>
      <c r="B177" s="3" t="s">
        <v>4</v>
      </c>
      <c r="C177" s="4" t="s">
        <v>7</v>
      </c>
      <c r="D177" s="6" t="s">
        <v>8</v>
      </c>
      <c r="E177" s="1" t="s">
        <v>9</v>
      </c>
      <c r="F177" s="26">
        <v>45253.0</v>
      </c>
    </row>
    <row r="178">
      <c r="A178" s="1" t="s">
        <v>11</v>
      </c>
      <c r="B178" s="7">
        <v>11180.0</v>
      </c>
      <c r="C178" s="4">
        <v>7.76</v>
      </c>
      <c r="D178" s="9">
        <v>86756.8</v>
      </c>
      <c r="E178" s="1" t="s">
        <v>13</v>
      </c>
      <c r="F178" s="1" t="s">
        <v>13</v>
      </c>
    </row>
    <row r="179">
      <c r="A179" s="1" t="s">
        <v>14</v>
      </c>
      <c r="B179" s="7">
        <v>8320.0</v>
      </c>
      <c r="C179" s="4">
        <v>13.16</v>
      </c>
      <c r="D179" s="9">
        <v>109491.2</v>
      </c>
      <c r="E179" s="1" t="s">
        <v>13</v>
      </c>
    </row>
    <row r="180">
      <c r="A180" s="1">
        <v>325.0</v>
      </c>
      <c r="B180" s="7">
        <v>17.0</v>
      </c>
      <c r="C180" s="4">
        <v>18.0</v>
      </c>
      <c r="D180" s="9">
        <v>306.0</v>
      </c>
      <c r="E180" s="1" t="s">
        <v>13</v>
      </c>
    </row>
    <row r="181">
      <c r="A181" s="1">
        <v>329.0</v>
      </c>
      <c r="B181" s="7">
        <v>28.0</v>
      </c>
      <c r="C181" s="4">
        <v>17.5</v>
      </c>
      <c r="D181" s="9">
        <v>490.0</v>
      </c>
      <c r="E181" s="1" t="s">
        <v>13</v>
      </c>
    </row>
    <row r="182">
      <c r="A182" s="1" t="s">
        <v>26</v>
      </c>
      <c r="B182" s="7">
        <v>19062.0</v>
      </c>
      <c r="C182" s="4">
        <v>18.2</v>
      </c>
      <c r="D182" s="9">
        <v>346928.39999999997</v>
      </c>
      <c r="E182" s="1" t="s">
        <v>13</v>
      </c>
    </row>
    <row r="183">
      <c r="A183" s="1">
        <v>336.0</v>
      </c>
      <c r="B183" s="3">
        <v>0.0</v>
      </c>
      <c r="C183" s="4">
        <v>18.33</v>
      </c>
      <c r="D183" s="9">
        <v>0.0</v>
      </c>
      <c r="E183" s="1" t="s">
        <v>13</v>
      </c>
    </row>
    <row r="184">
      <c r="A184" s="1">
        <v>340.0</v>
      </c>
      <c r="B184" s="7">
        <v>500.0</v>
      </c>
      <c r="C184" s="4">
        <v>14.75</v>
      </c>
      <c r="D184" s="9">
        <v>7375.0</v>
      </c>
      <c r="E184" s="1" t="s">
        <v>13</v>
      </c>
    </row>
    <row r="185">
      <c r="A185" s="1">
        <v>362.0</v>
      </c>
      <c r="B185" s="15">
        <v>22644.0</v>
      </c>
      <c r="C185" s="4">
        <v>25.0</v>
      </c>
      <c r="D185" s="9">
        <v>566100.0</v>
      </c>
      <c r="E185" s="1" t="s">
        <v>13</v>
      </c>
    </row>
    <row r="186">
      <c r="A186" s="1">
        <v>367.0</v>
      </c>
      <c r="B186" s="7">
        <v>16165.0</v>
      </c>
      <c r="C186" s="4">
        <v>19.0</v>
      </c>
      <c r="D186" s="9">
        <v>307135.0</v>
      </c>
      <c r="E186" s="1" t="s">
        <v>13</v>
      </c>
    </row>
    <row r="187">
      <c r="A187" s="1">
        <v>373.0</v>
      </c>
      <c r="B187" s="3">
        <v>0.0</v>
      </c>
      <c r="C187" s="4">
        <v>22.45</v>
      </c>
      <c r="D187" s="9">
        <v>0.0</v>
      </c>
      <c r="E187" s="1" t="s">
        <v>13</v>
      </c>
    </row>
    <row r="188">
      <c r="A188" s="1">
        <v>374.0</v>
      </c>
      <c r="B188" s="3">
        <v>0.0</v>
      </c>
      <c r="C188" s="4">
        <v>19.05</v>
      </c>
      <c r="D188" s="9">
        <v>0.0</v>
      </c>
      <c r="E188" s="1" t="s">
        <v>13</v>
      </c>
    </row>
    <row r="189">
      <c r="A189" s="1">
        <v>376.0</v>
      </c>
      <c r="B189" s="3">
        <v>0.0</v>
      </c>
      <c r="C189" s="4">
        <v>16.25</v>
      </c>
      <c r="D189" s="9">
        <v>0.0</v>
      </c>
      <c r="E189" s="1" t="s">
        <v>13</v>
      </c>
    </row>
    <row r="190">
      <c r="A190" s="1">
        <v>380.0</v>
      </c>
      <c r="B190" s="7">
        <v>5042.0</v>
      </c>
      <c r="C190" s="4">
        <v>105.0</v>
      </c>
      <c r="D190" s="9">
        <v>529410.0</v>
      </c>
      <c r="E190" s="1" t="s">
        <v>41</v>
      </c>
    </row>
    <row r="191">
      <c r="A191" s="1">
        <v>388.0</v>
      </c>
      <c r="B191" s="7">
        <v>7380.0</v>
      </c>
      <c r="C191" s="4">
        <v>13.76</v>
      </c>
      <c r="D191" s="9">
        <v>101548.8</v>
      </c>
      <c r="E191" s="1" t="s">
        <v>13</v>
      </c>
    </row>
    <row r="192">
      <c r="A192" s="1" t="s">
        <v>44</v>
      </c>
      <c r="B192" s="3">
        <v>0.0</v>
      </c>
      <c r="C192" s="4">
        <v>17.6</v>
      </c>
      <c r="D192" s="9">
        <v>0.0</v>
      </c>
      <c r="E192" s="1" t="s">
        <v>13</v>
      </c>
    </row>
    <row r="193">
      <c r="A193" s="1">
        <v>389.0</v>
      </c>
      <c r="B193" s="3">
        <v>0.0</v>
      </c>
      <c r="C193" s="4">
        <v>21.24</v>
      </c>
      <c r="D193" s="9">
        <v>0.0</v>
      </c>
      <c r="E193" s="1" t="s">
        <v>13</v>
      </c>
    </row>
    <row r="194">
      <c r="A194" s="1">
        <v>393.0</v>
      </c>
      <c r="B194" s="3">
        <v>0.0</v>
      </c>
      <c r="C194" s="4">
        <v>22.75</v>
      </c>
      <c r="D194" s="9">
        <v>0.0</v>
      </c>
      <c r="E194" s="1" t="s">
        <v>13</v>
      </c>
    </row>
    <row r="195">
      <c r="A195" s="1">
        <v>394.0</v>
      </c>
      <c r="B195" s="7">
        <v>1363.0</v>
      </c>
      <c r="C195" s="4">
        <v>21.91</v>
      </c>
      <c r="D195" s="9">
        <v>29863.33</v>
      </c>
      <c r="E195" s="1" t="s">
        <v>13</v>
      </c>
    </row>
    <row r="196">
      <c r="A196" s="1">
        <v>395.0</v>
      </c>
      <c r="B196" s="7">
        <v>473.0</v>
      </c>
      <c r="C196" s="4">
        <v>20.41</v>
      </c>
      <c r="D196" s="9">
        <v>9653.93</v>
      </c>
      <c r="E196" s="1" t="s">
        <v>13</v>
      </c>
    </row>
    <row r="197">
      <c r="A197" s="1">
        <v>398.0</v>
      </c>
      <c r="B197" s="7">
        <v>10563.0</v>
      </c>
      <c r="C197" s="4">
        <v>18.31</v>
      </c>
      <c r="D197" s="9">
        <v>193408.53</v>
      </c>
      <c r="E197" s="1" t="s">
        <v>13</v>
      </c>
    </row>
    <row r="198">
      <c r="A198" s="1">
        <v>407.0</v>
      </c>
      <c r="B198" s="3">
        <v>0.0</v>
      </c>
      <c r="C198" s="4">
        <v>16.61</v>
      </c>
      <c r="D198" s="9">
        <v>0.0</v>
      </c>
      <c r="E198" s="1" t="s">
        <v>13</v>
      </c>
    </row>
    <row r="199">
      <c r="A199" s="1">
        <v>412.0</v>
      </c>
      <c r="B199" s="7">
        <v>2926.0</v>
      </c>
      <c r="C199" s="4">
        <v>50.25</v>
      </c>
      <c r="D199" s="9">
        <v>147031.5</v>
      </c>
      <c r="E199" s="1" t="s">
        <v>41</v>
      </c>
    </row>
    <row r="200">
      <c r="A200" s="1">
        <v>421.0</v>
      </c>
      <c r="B200" s="7">
        <v>508.0</v>
      </c>
      <c r="C200" s="4">
        <v>25.25</v>
      </c>
      <c r="D200" s="9">
        <v>12827.0</v>
      </c>
      <c r="E200" s="1" t="s">
        <v>13</v>
      </c>
    </row>
    <row r="201">
      <c r="A201" s="1">
        <v>427.0</v>
      </c>
      <c r="B201" s="7">
        <v>319.0</v>
      </c>
      <c r="C201" s="4">
        <v>61.25</v>
      </c>
      <c r="D201" s="9">
        <v>19538.75</v>
      </c>
      <c r="E201" s="1" t="s">
        <v>41</v>
      </c>
    </row>
    <row r="202">
      <c r="A202" s="1">
        <v>430.0</v>
      </c>
      <c r="B202" s="7">
        <v>870.0</v>
      </c>
      <c r="C202" s="4">
        <v>27.7</v>
      </c>
      <c r="D202" s="9">
        <v>24099.0</v>
      </c>
      <c r="E202" s="1" t="s">
        <v>13</v>
      </c>
    </row>
    <row r="203">
      <c r="A203" s="1">
        <v>432.0</v>
      </c>
      <c r="B203" s="3">
        <v>0.0</v>
      </c>
      <c r="C203" s="4">
        <v>13.5</v>
      </c>
      <c r="D203" s="9">
        <v>0.0</v>
      </c>
      <c r="E203" s="1" t="s">
        <v>13</v>
      </c>
    </row>
    <row r="204">
      <c r="A204" s="1">
        <v>437.0</v>
      </c>
      <c r="B204" s="7">
        <v>8871.0</v>
      </c>
      <c r="C204" s="4">
        <v>96.25</v>
      </c>
      <c r="D204" s="9">
        <v>853833.75</v>
      </c>
      <c r="E204" s="1" t="s">
        <v>41</v>
      </c>
    </row>
    <row r="205">
      <c r="A205" s="1">
        <v>439.0</v>
      </c>
      <c r="B205" s="7">
        <v>19008.0</v>
      </c>
      <c r="C205" s="4">
        <v>26.41</v>
      </c>
      <c r="D205" s="9">
        <v>502001.28</v>
      </c>
      <c r="E205" s="1" t="s">
        <v>13</v>
      </c>
    </row>
    <row r="206">
      <c r="A206" s="1">
        <v>441.0</v>
      </c>
      <c r="B206" s="3">
        <v>0.0</v>
      </c>
      <c r="C206" s="4">
        <v>16.6</v>
      </c>
      <c r="D206" s="9">
        <v>0.0</v>
      </c>
      <c r="E206" s="1" t="s">
        <v>13</v>
      </c>
    </row>
    <row r="207">
      <c r="A207" s="1">
        <v>444.0</v>
      </c>
      <c r="B207" s="7">
        <v>179.0</v>
      </c>
      <c r="C207" s="4">
        <v>14.36</v>
      </c>
      <c r="D207" s="9">
        <v>2570.44</v>
      </c>
      <c r="E207" s="1" t="s">
        <v>13</v>
      </c>
    </row>
    <row r="208">
      <c r="A208" s="1">
        <v>448.0</v>
      </c>
      <c r="B208" s="7">
        <v>3840.0</v>
      </c>
      <c r="C208" s="4">
        <v>39.0</v>
      </c>
      <c r="D208" s="9">
        <v>149760.0</v>
      </c>
      <c r="E208" s="1" t="s">
        <v>13</v>
      </c>
    </row>
    <row r="209">
      <c r="A209" s="1">
        <v>450.0</v>
      </c>
      <c r="B209" s="7">
        <v>12557.0</v>
      </c>
      <c r="C209" s="4">
        <v>19.61</v>
      </c>
      <c r="D209" s="9">
        <v>246242.77</v>
      </c>
      <c r="E209" s="1" t="s">
        <v>13</v>
      </c>
    </row>
    <row r="210">
      <c r="A210" s="1">
        <v>451.0</v>
      </c>
      <c r="B210" s="7">
        <v>377.0</v>
      </c>
      <c r="C210" s="4">
        <v>31.5</v>
      </c>
      <c r="D210" s="9">
        <v>11875.5</v>
      </c>
      <c r="E210" s="1" t="s">
        <v>13</v>
      </c>
    </row>
    <row r="211">
      <c r="A211" s="1">
        <v>452.0</v>
      </c>
      <c r="B211" s="7">
        <v>1384.0</v>
      </c>
      <c r="C211" s="4">
        <v>26.11</v>
      </c>
      <c r="D211" s="9">
        <v>36136.24</v>
      </c>
      <c r="E211" s="1" t="s">
        <v>13</v>
      </c>
    </row>
    <row r="212">
      <c r="A212" s="1">
        <v>453.0</v>
      </c>
      <c r="B212" s="7">
        <v>760.0</v>
      </c>
      <c r="C212" s="4">
        <v>35.6</v>
      </c>
      <c r="D212" s="9">
        <v>27056.0</v>
      </c>
      <c r="E212" s="1" t="s">
        <v>13</v>
      </c>
    </row>
    <row r="213">
      <c r="A213" s="1">
        <v>454.0</v>
      </c>
      <c r="B213" s="7">
        <v>283.0</v>
      </c>
      <c r="C213" s="4">
        <v>59.21</v>
      </c>
      <c r="D213" s="9">
        <v>16756.43</v>
      </c>
      <c r="E213" s="1" t="s">
        <v>13</v>
      </c>
    </row>
    <row r="214">
      <c r="A214" s="1">
        <v>456.0</v>
      </c>
      <c r="B214" s="7">
        <v>3950.0</v>
      </c>
      <c r="C214" s="4">
        <v>19.25</v>
      </c>
      <c r="D214" s="9">
        <v>76037.5</v>
      </c>
      <c r="E214" s="1" t="s">
        <v>55</v>
      </c>
    </row>
    <row r="215">
      <c r="A215" s="1">
        <v>457.0</v>
      </c>
      <c r="B215" s="7">
        <v>98.0</v>
      </c>
      <c r="C215" s="4">
        <v>10.0</v>
      </c>
      <c r="D215" s="9">
        <v>980.0</v>
      </c>
      <c r="E215" s="1" t="s">
        <v>55</v>
      </c>
    </row>
    <row r="216">
      <c r="A216" s="1">
        <v>461.0</v>
      </c>
      <c r="B216" s="7">
        <v>20.0</v>
      </c>
      <c r="C216" s="4">
        <v>81.11</v>
      </c>
      <c r="D216" s="9">
        <v>1622.2</v>
      </c>
      <c r="E216" s="1" t="s">
        <v>41</v>
      </c>
    </row>
    <row r="217">
      <c r="A217" s="1">
        <v>462.0</v>
      </c>
      <c r="B217" s="7">
        <v>19309.0</v>
      </c>
      <c r="C217" s="4">
        <v>11.15</v>
      </c>
      <c r="D217" s="9">
        <v>215295.35</v>
      </c>
      <c r="E217" s="1" t="s">
        <v>55</v>
      </c>
    </row>
    <row r="218">
      <c r="A218" s="1">
        <v>463.0</v>
      </c>
      <c r="B218" s="7">
        <v>4575.0</v>
      </c>
      <c r="C218" s="4">
        <v>15.41</v>
      </c>
      <c r="D218" s="9">
        <v>70500.75</v>
      </c>
      <c r="E218" s="1" t="s">
        <v>13</v>
      </c>
    </row>
    <row r="219">
      <c r="A219" s="1">
        <v>473.0</v>
      </c>
      <c r="B219" s="7">
        <v>458.0</v>
      </c>
      <c r="C219" s="4">
        <v>35.81</v>
      </c>
      <c r="D219" s="9">
        <v>16400.98</v>
      </c>
      <c r="E219" s="1" t="s">
        <v>13</v>
      </c>
    </row>
    <row r="220">
      <c r="A220" s="1">
        <v>474.0</v>
      </c>
      <c r="B220" s="7">
        <v>683.0</v>
      </c>
      <c r="C220" s="4">
        <v>33.5</v>
      </c>
      <c r="D220" s="9">
        <v>22880.5</v>
      </c>
      <c r="E220" s="1" t="s">
        <v>13</v>
      </c>
    </row>
    <row r="221">
      <c r="A221" s="1">
        <v>482.0</v>
      </c>
      <c r="B221" s="7">
        <v>120.0</v>
      </c>
      <c r="C221" s="4">
        <v>48.15</v>
      </c>
      <c r="D221" s="9">
        <v>5778.0</v>
      </c>
      <c r="E221" s="1" t="s">
        <v>41</v>
      </c>
    </row>
    <row r="222">
      <c r="A222" s="1">
        <v>487.0</v>
      </c>
      <c r="B222" s="7">
        <v>550.0</v>
      </c>
      <c r="C222" s="4">
        <v>95.0</v>
      </c>
      <c r="D222" s="9">
        <v>52250.0</v>
      </c>
      <c r="E222" s="1" t="s">
        <v>41</v>
      </c>
    </row>
    <row r="223">
      <c r="A223" s="1">
        <v>488.0</v>
      </c>
      <c r="B223" s="7">
        <v>7.0</v>
      </c>
      <c r="C223" s="4">
        <v>151.25</v>
      </c>
      <c r="D223" s="9">
        <v>1058.75</v>
      </c>
      <c r="E223" s="1" t="s">
        <v>41</v>
      </c>
    </row>
    <row r="224">
      <c r="A224" s="1">
        <v>489.0</v>
      </c>
      <c r="B224" s="7">
        <v>20.0</v>
      </c>
      <c r="C224" s="4">
        <v>152.5</v>
      </c>
      <c r="D224" s="9">
        <v>3050.0</v>
      </c>
      <c r="E224" s="1" t="s">
        <v>41</v>
      </c>
    </row>
    <row r="225">
      <c r="A225" s="1">
        <v>490.0</v>
      </c>
      <c r="B225" s="7">
        <v>200.0</v>
      </c>
      <c r="C225" s="4">
        <v>172.85</v>
      </c>
      <c r="D225" s="9">
        <v>34570.0</v>
      </c>
      <c r="E225" s="1" t="s">
        <v>41</v>
      </c>
    </row>
    <row r="226">
      <c r="A226" s="1">
        <v>491.0</v>
      </c>
      <c r="B226" s="7">
        <v>8981.0</v>
      </c>
      <c r="C226" s="4">
        <v>21.25</v>
      </c>
      <c r="D226" s="9">
        <v>190846.25</v>
      </c>
      <c r="E226" s="1" t="s">
        <v>55</v>
      </c>
    </row>
    <row r="227">
      <c r="A227" s="1">
        <v>492.0</v>
      </c>
      <c r="B227" s="7">
        <v>2353.0</v>
      </c>
      <c r="C227" s="4">
        <v>18.25</v>
      </c>
      <c r="D227" s="9">
        <v>42942.25</v>
      </c>
      <c r="E227" s="1" t="s">
        <v>55</v>
      </c>
    </row>
    <row r="228">
      <c r="A228" s="1">
        <v>493.0</v>
      </c>
      <c r="B228" s="7">
        <v>665.0</v>
      </c>
      <c r="C228" s="4">
        <v>11.25</v>
      </c>
      <c r="D228" s="9">
        <v>7481.25</v>
      </c>
      <c r="E228" s="1" t="s">
        <v>55</v>
      </c>
    </row>
    <row r="229">
      <c r="A229" s="1">
        <v>494.0</v>
      </c>
      <c r="B229" s="7">
        <v>1358.0</v>
      </c>
      <c r="C229" s="4">
        <v>16.75</v>
      </c>
      <c r="D229" s="9">
        <v>22746.5</v>
      </c>
      <c r="E229" s="1" t="s">
        <v>55</v>
      </c>
    </row>
    <row r="230">
      <c r="A230" s="1">
        <v>495.0</v>
      </c>
      <c r="B230" s="7">
        <v>1160.0</v>
      </c>
      <c r="C230" s="4">
        <v>17.75</v>
      </c>
      <c r="D230" s="9">
        <v>20590.0</v>
      </c>
      <c r="E230" s="1" t="s">
        <v>55</v>
      </c>
    </row>
    <row r="231">
      <c r="A231" s="1">
        <v>498.0</v>
      </c>
      <c r="B231" s="7">
        <v>5405.0</v>
      </c>
      <c r="C231" s="4">
        <v>14.25</v>
      </c>
      <c r="D231" s="9">
        <v>77021.25</v>
      </c>
      <c r="E231" s="1" t="s">
        <v>55</v>
      </c>
    </row>
    <row r="232">
      <c r="A232" s="1">
        <v>499.0</v>
      </c>
      <c r="B232" s="7">
        <v>5270.0</v>
      </c>
      <c r="C232" s="4">
        <v>32.75</v>
      </c>
      <c r="D232" s="9">
        <v>172592.5</v>
      </c>
      <c r="E232" s="1" t="s">
        <v>13</v>
      </c>
    </row>
    <row r="233">
      <c r="A233" s="1">
        <v>504.0</v>
      </c>
      <c r="B233" s="7">
        <v>383.0</v>
      </c>
      <c r="C233" s="4">
        <v>12.75</v>
      </c>
      <c r="D233" s="9">
        <v>4883.25</v>
      </c>
      <c r="E233" s="1" t="s">
        <v>13</v>
      </c>
    </row>
    <row r="234">
      <c r="A234" s="1">
        <v>507.0</v>
      </c>
      <c r="B234" s="7">
        <v>140.0</v>
      </c>
      <c r="C234" s="4">
        <v>33.61</v>
      </c>
      <c r="D234" s="9">
        <v>4705.4</v>
      </c>
      <c r="E234" s="1" t="s">
        <v>13</v>
      </c>
    </row>
    <row r="235">
      <c r="A235" s="1">
        <v>508.0</v>
      </c>
      <c r="B235" s="7">
        <v>1211.0</v>
      </c>
      <c r="C235" s="4">
        <v>16.11</v>
      </c>
      <c r="D235" s="9">
        <v>19509.21</v>
      </c>
      <c r="E235" s="1" t="s">
        <v>13</v>
      </c>
    </row>
    <row r="236">
      <c r="A236" s="1">
        <v>510.0</v>
      </c>
      <c r="B236" s="7">
        <v>684.0</v>
      </c>
      <c r="C236" s="4">
        <v>65.0</v>
      </c>
      <c r="D236" s="9">
        <v>44460.0</v>
      </c>
      <c r="E236" s="1" t="s">
        <v>41</v>
      </c>
    </row>
    <row r="237">
      <c r="A237" s="1">
        <v>511.0</v>
      </c>
      <c r="B237" s="7">
        <v>12.0</v>
      </c>
      <c r="C237" s="4">
        <v>161.25</v>
      </c>
      <c r="D237" s="9">
        <v>1935.0</v>
      </c>
      <c r="E237" s="1" t="s">
        <v>41</v>
      </c>
    </row>
    <row r="238">
      <c r="A238" s="1">
        <v>512.0</v>
      </c>
      <c r="B238" s="7">
        <v>1162.0</v>
      </c>
      <c r="C238" s="4">
        <v>16.25</v>
      </c>
      <c r="D238" s="9">
        <v>18882.5</v>
      </c>
      <c r="E238" s="1" t="s">
        <v>55</v>
      </c>
    </row>
    <row r="239">
      <c r="A239" s="1">
        <v>514.0</v>
      </c>
      <c r="B239" s="7">
        <v>3740.0</v>
      </c>
      <c r="C239" s="4">
        <v>15.75</v>
      </c>
      <c r="D239" s="9">
        <v>58905.0</v>
      </c>
      <c r="E239" s="1" t="s">
        <v>13</v>
      </c>
    </row>
    <row r="240">
      <c r="A240" s="1">
        <v>516.0</v>
      </c>
      <c r="B240" s="7">
        <v>405.0</v>
      </c>
      <c r="C240" s="4">
        <v>20.0</v>
      </c>
      <c r="D240" s="9">
        <v>8100.0</v>
      </c>
      <c r="E240" s="1" t="s">
        <v>13</v>
      </c>
    </row>
    <row r="241">
      <c r="A241" s="1">
        <v>517.0</v>
      </c>
      <c r="B241" s="7">
        <v>5603.0</v>
      </c>
      <c r="C241" s="4">
        <v>19.25</v>
      </c>
      <c r="D241" s="9">
        <v>107857.75</v>
      </c>
      <c r="E241" s="1" t="s">
        <v>13</v>
      </c>
    </row>
    <row r="242">
      <c r="A242" s="1">
        <v>522.0</v>
      </c>
      <c r="B242" s="7">
        <v>204.0</v>
      </c>
      <c r="C242" s="4">
        <v>23.75</v>
      </c>
      <c r="D242" s="9">
        <v>4845.0</v>
      </c>
      <c r="E242" s="1" t="s">
        <v>13</v>
      </c>
    </row>
    <row r="243">
      <c r="A243" s="1">
        <v>526.0</v>
      </c>
      <c r="B243" s="7">
        <v>972.0</v>
      </c>
      <c r="C243" s="4">
        <v>21.36</v>
      </c>
      <c r="D243" s="9">
        <v>20761.92</v>
      </c>
      <c r="E243" s="1" t="s">
        <v>13</v>
      </c>
    </row>
    <row r="244">
      <c r="A244" s="1">
        <v>532.0</v>
      </c>
      <c r="B244" s="7">
        <v>270.0</v>
      </c>
      <c r="C244" s="4">
        <v>20.11</v>
      </c>
      <c r="D244" s="9">
        <v>5429.7</v>
      </c>
      <c r="E244" s="1" t="s">
        <v>13</v>
      </c>
    </row>
    <row r="245">
      <c r="A245" s="1">
        <v>533.0</v>
      </c>
      <c r="B245" s="7">
        <v>30.0</v>
      </c>
      <c r="C245" s="4">
        <v>65.25</v>
      </c>
      <c r="D245" s="9">
        <v>1957.5</v>
      </c>
      <c r="E245" s="1" t="s">
        <v>41</v>
      </c>
    </row>
    <row r="246">
      <c r="A246" s="1">
        <v>537.0</v>
      </c>
      <c r="B246" s="7">
        <v>1000.0</v>
      </c>
      <c r="C246" s="4">
        <v>30.0</v>
      </c>
      <c r="D246" s="9">
        <v>30000.0</v>
      </c>
      <c r="E246" s="1" t="s">
        <v>13</v>
      </c>
    </row>
    <row r="247">
      <c r="A247" s="1">
        <v>538.0</v>
      </c>
      <c r="B247" s="7">
        <v>1110.0</v>
      </c>
      <c r="C247" s="4">
        <v>17.01</v>
      </c>
      <c r="D247" s="9">
        <v>18881.100000000002</v>
      </c>
      <c r="E247" s="1" t="s">
        <v>13</v>
      </c>
    </row>
    <row r="248">
      <c r="A248" s="1">
        <v>539.0</v>
      </c>
      <c r="B248" s="7">
        <v>658.0</v>
      </c>
      <c r="C248" s="4">
        <v>14.71</v>
      </c>
      <c r="D248" s="9">
        <v>9679.18</v>
      </c>
      <c r="E248" s="1" t="s">
        <v>13</v>
      </c>
    </row>
    <row r="249">
      <c r="A249" s="1">
        <v>540.0</v>
      </c>
      <c r="B249" s="7">
        <v>0.0</v>
      </c>
      <c r="C249" s="4">
        <v>81.65</v>
      </c>
      <c r="D249" s="9">
        <v>0.0</v>
      </c>
      <c r="E249" s="1" t="s">
        <v>41</v>
      </c>
    </row>
    <row r="250">
      <c r="A250" s="1">
        <v>542.0</v>
      </c>
      <c r="B250" s="7">
        <v>250.0</v>
      </c>
      <c r="C250" s="4">
        <v>27.61</v>
      </c>
      <c r="D250" s="9">
        <v>6902.5</v>
      </c>
      <c r="E250" s="1" t="s">
        <v>13</v>
      </c>
    </row>
    <row r="251">
      <c r="A251" s="1">
        <v>543.0</v>
      </c>
      <c r="B251" s="7">
        <v>1011.0</v>
      </c>
      <c r="C251" s="4">
        <v>27.0</v>
      </c>
      <c r="D251" s="9">
        <v>27297.0</v>
      </c>
      <c r="E251" s="1" t="s">
        <v>13</v>
      </c>
    </row>
    <row r="252">
      <c r="A252" s="1">
        <v>545.0</v>
      </c>
      <c r="B252" s="7">
        <v>1956.0</v>
      </c>
      <c r="C252" s="4">
        <v>42.0</v>
      </c>
      <c r="D252" s="9">
        <v>82152.0</v>
      </c>
      <c r="E252" s="1" t="s">
        <v>13</v>
      </c>
    </row>
    <row r="253">
      <c r="A253" s="1">
        <v>547.0</v>
      </c>
      <c r="B253" s="7">
        <v>225.0</v>
      </c>
      <c r="C253" s="4">
        <v>120.65</v>
      </c>
      <c r="D253" s="9">
        <v>27146.25</v>
      </c>
      <c r="E253" s="1" t="s">
        <v>41</v>
      </c>
    </row>
    <row r="254">
      <c r="A254" s="1">
        <v>550.0</v>
      </c>
      <c r="B254" s="7">
        <v>105.0</v>
      </c>
      <c r="C254" s="4">
        <v>89.0</v>
      </c>
      <c r="D254" s="9">
        <v>9345.0</v>
      </c>
      <c r="E254" s="1" t="s">
        <v>41</v>
      </c>
    </row>
    <row r="255">
      <c r="A255" s="1">
        <v>551.0</v>
      </c>
      <c r="B255" s="7">
        <v>140.0</v>
      </c>
      <c r="C255" s="4">
        <v>80.65</v>
      </c>
      <c r="D255" s="9">
        <v>11291.0</v>
      </c>
      <c r="E255" s="1" t="s">
        <v>41</v>
      </c>
    </row>
    <row r="256">
      <c r="A256" s="1">
        <v>553.0</v>
      </c>
      <c r="B256" s="7">
        <v>150.0</v>
      </c>
      <c r="C256" s="4">
        <v>55.65</v>
      </c>
      <c r="D256" s="9">
        <v>8347.5</v>
      </c>
      <c r="E256" s="1" t="s">
        <v>41</v>
      </c>
    </row>
    <row r="257">
      <c r="A257" s="1">
        <v>569.0</v>
      </c>
      <c r="B257" s="7">
        <v>180.0</v>
      </c>
      <c r="C257" s="4">
        <v>23.5</v>
      </c>
      <c r="D257" s="9">
        <v>4230.0</v>
      </c>
      <c r="E257" s="1" t="s">
        <v>13</v>
      </c>
    </row>
    <row r="258">
      <c r="A258" s="1">
        <v>14001.0</v>
      </c>
      <c r="B258" s="7">
        <v>90.0</v>
      </c>
      <c r="C258" s="4">
        <v>59.25</v>
      </c>
      <c r="D258" s="9">
        <v>5332.5</v>
      </c>
      <c r="E258" s="1" t="s">
        <v>41</v>
      </c>
    </row>
    <row r="259">
      <c r="A259" s="1">
        <v>14009.0</v>
      </c>
      <c r="B259" s="7">
        <v>4371.0</v>
      </c>
      <c r="C259" s="4">
        <v>79.95</v>
      </c>
      <c r="D259" s="9">
        <v>349461.45</v>
      </c>
      <c r="E259" s="1" t="s">
        <v>41</v>
      </c>
    </row>
    <row r="260">
      <c r="A260" s="1">
        <v>14030.0</v>
      </c>
      <c r="B260" s="7">
        <v>39.0</v>
      </c>
      <c r="C260" s="4">
        <v>89.05</v>
      </c>
      <c r="D260" s="9">
        <v>3472.95</v>
      </c>
      <c r="E260" s="1" t="s">
        <v>41</v>
      </c>
    </row>
    <row r="261">
      <c r="A261" s="1">
        <v>14033.0</v>
      </c>
      <c r="B261" s="7">
        <v>269.0</v>
      </c>
      <c r="C261" s="4">
        <v>88.25</v>
      </c>
      <c r="D261" s="9">
        <v>23739.25</v>
      </c>
      <c r="E261" s="1" t="s">
        <v>41</v>
      </c>
    </row>
    <row r="262">
      <c r="A262" s="1" t="s">
        <v>59</v>
      </c>
      <c r="B262" s="7">
        <v>236171.0</v>
      </c>
      <c r="C262" s="25"/>
      <c r="D262" s="7">
        <v>6292349.59</v>
      </c>
    </row>
    <row r="263">
      <c r="A263" s="1"/>
      <c r="B263" s="7"/>
      <c r="C263" s="25"/>
      <c r="D263" s="9"/>
    </row>
    <row r="264">
      <c r="A264" s="1"/>
      <c r="B264" s="7"/>
      <c r="C264" s="25"/>
      <c r="D264" s="9"/>
    </row>
    <row r="265">
      <c r="A265" s="1"/>
      <c r="B265" s="7"/>
      <c r="C265" s="25"/>
      <c r="D265" s="9"/>
    </row>
    <row r="266">
      <c r="A266" s="1" t="s">
        <v>1</v>
      </c>
      <c r="B266" s="3" t="s">
        <v>4</v>
      </c>
      <c r="C266" s="4" t="s">
        <v>7</v>
      </c>
      <c r="D266" s="6" t="s">
        <v>8</v>
      </c>
      <c r="E266" s="1" t="s">
        <v>9</v>
      </c>
      <c r="F266" s="1" t="s">
        <v>68</v>
      </c>
    </row>
    <row r="267">
      <c r="A267" s="1" t="s">
        <v>11</v>
      </c>
      <c r="B267" s="7">
        <v>10149.0</v>
      </c>
      <c r="C267" s="4">
        <v>7.76</v>
      </c>
      <c r="D267" s="9">
        <v>78756.23999999999</v>
      </c>
      <c r="E267" s="1" t="s">
        <v>13</v>
      </c>
    </row>
    <row r="268">
      <c r="A268" s="1" t="s">
        <v>14</v>
      </c>
      <c r="B268" s="7">
        <v>7768.0</v>
      </c>
      <c r="C268" s="4">
        <v>13.16</v>
      </c>
      <c r="D268" s="9">
        <v>102226.88</v>
      </c>
      <c r="E268" s="1" t="s">
        <v>13</v>
      </c>
    </row>
    <row r="269">
      <c r="A269" s="1">
        <v>325.0</v>
      </c>
      <c r="B269" s="7">
        <v>0.0</v>
      </c>
      <c r="C269" s="4">
        <v>18.0</v>
      </c>
      <c r="D269" s="9">
        <v>0.0</v>
      </c>
      <c r="E269" s="1" t="s">
        <v>13</v>
      </c>
    </row>
    <row r="270">
      <c r="A270" s="1">
        <v>329.0</v>
      </c>
      <c r="B270" s="7">
        <v>28.0</v>
      </c>
      <c r="C270" s="4">
        <v>17.5</v>
      </c>
      <c r="D270" s="9">
        <v>490.0</v>
      </c>
      <c r="E270" s="1" t="s">
        <v>13</v>
      </c>
    </row>
    <row r="271">
      <c r="A271" s="1" t="s">
        <v>26</v>
      </c>
      <c r="B271" s="7">
        <v>16717.0</v>
      </c>
      <c r="C271" s="4">
        <v>18.2</v>
      </c>
      <c r="D271" s="9">
        <v>304249.39999999997</v>
      </c>
      <c r="E271" s="1" t="s">
        <v>13</v>
      </c>
    </row>
    <row r="272">
      <c r="A272" s="1">
        <v>336.0</v>
      </c>
      <c r="B272" s="3">
        <v>0.0</v>
      </c>
      <c r="C272" s="4">
        <v>18.33</v>
      </c>
      <c r="D272" s="9">
        <v>0.0</v>
      </c>
      <c r="E272" s="1" t="s">
        <v>13</v>
      </c>
    </row>
    <row r="273">
      <c r="A273" s="1">
        <v>340.0</v>
      </c>
      <c r="B273" s="7">
        <v>186.0</v>
      </c>
      <c r="C273" s="4">
        <v>14.75</v>
      </c>
      <c r="D273" s="9">
        <v>2743.5</v>
      </c>
      <c r="E273" s="1" t="s">
        <v>13</v>
      </c>
    </row>
    <row r="274">
      <c r="A274" s="1">
        <v>362.0</v>
      </c>
      <c r="B274" s="15">
        <v>18314.0</v>
      </c>
      <c r="C274" s="4">
        <v>25.0</v>
      </c>
      <c r="D274" s="9">
        <v>457850.0</v>
      </c>
      <c r="E274" s="1" t="s">
        <v>13</v>
      </c>
    </row>
    <row r="275">
      <c r="A275" s="1">
        <v>367.0</v>
      </c>
      <c r="B275" s="7">
        <v>13268.0</v>
      </c>
      <c r="C275" s="4">
        <v>19.0</v>
      </c>
      <c r="D275" s="9">
        <v>252092.0</v>
      </c>
      <c r="E275" s="1" t="s">
        <v>13</v>
      </c>
    </row>
    <row r="276">
      <c r="A276" s="1">
        <v>373.0</v>
      </c>
      <c r="B276" s="3">
        <v>0.0</v>
      </c>
      <c r="C276" s="4">
        <v>22.45</v>
      </c>
      <c r="D276" s="9">
        <v>0.0</v>
      </c>
      <c r="E276" s="1" t="s">
        <v>13</v>
      </c>
    </row>
    <row r="277">
      <c r="A277" s="1">
        <v>374.0</v>
      </c>
      <c r="B277" s="3">
        <v>0.0</v>
      </c>
      <c r="C277" s="4">
        <v>19.05</v>
      </c>
      <c r="D277" s="9">
        <v>0.0</v>
      </c>
      <c r="E277" s="1" t="s">
        <v>13</v>
      </c>
    </row>
    <row r="278">
      <c r="A278" s="1">
        <v>376.0</v>
      </c>
      <c r="B278" s="3">
        <v>0.0</v>
      </c>
      <c r="C278" s="4">
        <v>16.25</v>
      </c>
      <c r="D278" s="9">
        <v>0.0</v>
      </c>
      <c r="E278" s="1" t="s">
        <v>13</v>
      </c>
    </row>
    <row r="279">
      <c r="A279" s="1">
        <v>380.0</v>
      </c>
      <c r="B279" s="7">
        <v>4510.0</v>
      </c>
      <c r="C279" s="4">
        <v>105.0</v>
      </c>
      <c r="D279" s="9">
        <v>473550.0</v>
      </c>
      <c r="E279" s="1" t="s">
        <v>41</v>
      </c>
    </row>
    <row r="280">
      <c r="A280" s="1">
        <v>388.0</v>
      </c>
      <c r="B280" s="7">
        <v>10130.0</v>
      </c>
      <c r="C280" s="4">
        <v>13.76</v>
      </c>
      <c r="D280" s="9">
        <v>139388.8</v>
      </c>
      <c r="E280" s="1" t="s">
        <v>13</v>
      </c>
    </row>
    <row r="281">
      <c r="A281" s="1" t="s">
        <v>44</v>
      </c>
      <c r="B281" s="3">
        <v>0.0</v>
      </c>
      <c r="C281" s="4">
        <v>17.6</v>
      </c>
      <c r="D281" s="9">
        <v>0.0</v>
      </c>
      <c r="E281" s="1" t="s">
        <v>13</v>
      </c>
    </row>
    <row r="282">
      <c r="A282" s="1">
        <v>389.0</v>
      </c>
      <c r="B282" s="3">
        <v>0.0</v>
      </c>
      <c r="C282" s="4">
        <v>21.24</v>
      </c>
      <c r="D282" s="9">
        <v>0.0</v>
      </c>
      <c r="E282" s="1" t="s">
        <v>13</v>
      </c>
    </row>
    <row r="283">
      <c r="A283" s="1">
        <v>393.0</v>
      </c>
      <c r="B283" s="3">
        <v>0.0</v>
      </c>
      <c r="C283" s="4">
        <v>22.75</v>
      </c>
      <c r="D283" s="9">
        <v>0.0</v>
      </c>
      <c r="E283" s="1" t="s">
        <v>13</v>
      </c>
    </row>
    <row r="284">
      <c r="A284" s="1">
        <v>394.0</v>
      </c>
      <c r="B284" s="7">
        <v>1363.0</v>
      </c>
      <c r="C284" s="4">
        <v>21.91</v>
      </c>
      <c r="D284" s="9">
        <v>29863.33</v>
      </c>
      <c r="E284" s="1" t="s">
        <v>13</v>
      </c>
    </row>
    <row r="285">
      <c r="A285" s="1">
        <v>395.0</v>
      </c>
      <c r="B285" s="7">
        <v>473.0</v>
      </c>
      <c r="C285" s="4">
        <v>20.41</v>
      </c>
      <c r="D285" s="9">
        <v>9653.93</v>
      </c>
      <c r="E285" s="1" t="s">
        <v>13</v>
      </c>
    </row>
    <row r="286">
      <c r="A286" s="1">
        <v>398.0</v>
      </c>
      <c r="B286" s="7">
        <v>8837.0</v>
      </c>
      <c r="C286" s="4">
        <v>18.31</v>
      </c>
      <c r="D286" s="9">
        <v>161805.47</v>
      </c>
      <c r="E286" s="1" t="s">
        <v>13</v>
      </c>
    </row>
    <row r="287">
      <c r="A287" s="1">
        <v>407.0</v>
      </c>
      <c r="B287" s="3">
        <v>0.0</v>
      </c>
      <c r="C287" s="4">
        <v>16.61</v>
      </c>
      <c r="D287" s="9">
        <v>0.0</v>
      </c>
      <c r="E287" s="1" t="s">
        <v>13</v>
      </c>
    </row>
    <row r="288">
      <c r="A288" s="1">
        <v>412.0</v>
      </c>
      <c r="B288" s="7">
        <v>3260.0</v>
      </c>
      <c r="C288" s="4">
        <v>50.25</v>
      </c>
      <c r="D288" s="9">
        <v>163815.0</v>
      </c>
      <c r="E288" s="1" t="s">
        <v>41</v>
      </c>
    </row>
    <row r="289">
      <c r="A289" s="1">
        <v>421.0</v>
      </c>
      <c r="B289" s="7">
        <v>459.0</v>
      </c>
      <c r="C289" s="4">
        <v>25.25</v>
      </c>
      <c r="D289" s="9">
        <v>11589.75</v>
      </c>
      <c r="E289" s="1" t="s">
        <v>13</v>
      </c>
    </row>
    <row r="290">
      <c r="A290" s="1">
        <v>427.0</v>
      </c>
      <c r="B290" s="7">
        <v>161.0</v>
      </c>
      <c r="C290" s="4">
        <v>61.25</v>
      </c>
      <c r="D290" s="9">
        <v>9861.25</v>
      </c>
      <c r="E290" s="1" t="s">
        <v>41</v>
      </c>
    </row>
    <row r="291">
      <c r="A291" s="1">
        <v>430.0</v>
      </c>
      <c r="B291" s="7">
        <v>790.0</v>
      </c>
      <c r="C291" s="4">
        <v>27.7</v>
      </c>
      <c r="D291" s="9">
        <v>21883.0</v>
      </c>
      <c r="E291" s="1" t="s">
        <v>13</v>
      </c>
    </row>
    <row r="292">
      <c r="A292" s="1">
        <v>432.0</v>
      </c>
      <c r="B292" s="3">
        <v>0.0</v>
      </c>
      <c r="C292" s="4">
        <v>13.5</v>
      </c>
      <c r="D292" s="9">
        <v>0.0</v>
      </c>
      <c r="E292" s="1" t="s">
        <v>13</v>
      </c>
    </row>
    <row r="293">
      <c r="A293" s="1">
        <v>437.0</v>
      </c>
      <c r="B293" s="7">
        <v>6367.0</v>
      </c>
      <c r="C293" s="4">
        <v>96.25</v>
      </c>
      <c r="D293" s="9">
        <v>612823.75</v>
      </c>
      <c r="E293" s="1" t="s">
        <v>41</v>
      </c>
    </row>
    <row r="294">
      <c r="A294" s="1">
        <v>439.0</v>
      </c>
      <c r="B294" s="7">
        <v>11311.0</v>
      </c>
      <c r="C294" s="4">
        <v>26.41</v>
      </c>
      <c r="D294" s="9">
        <v>298723.51</v>
      </c>
      <c r="E294" s="1" t="s">
        <v>13</v>
      </c>
    </row>
    <row r="295">
      <c r="A295" s="1">
        <v>441.0</v>
      </c>
      <c r="B295" s="3">
        <v>0.0</v>
      </c>
      <c r="C295" s="4">
        <v>16.6</v>
      </c>
      <c r="D295" s="9">
        <v>0.0</v>
      </c>
      <c r="E295" s="1" t="s">
        <v>13</v>
      </c>
    </row>
    <row r="296">
      <c r="A296" s="1">
        <v>444.0</v>
      </c>
      <c r="B296" s="7">
        <v>179.0</v>
      </c>
      <c r="C296" s="4">
        <v>14.36</v>
      </c>
      <c r="D296" s="9">
        <v>2570.44</v>
      </c>
      <c r="E296" s="1" t="s">
        <v>13</v>
      </c>
    </row>
    <row r="297">
      <c r="A297" s="1">
        <v>448.0</v>
      </c>
      <c r="B297" s="7">
        <v>1935.0</v>
      </c>
      <c r="C297" s="4">
        <v>39.0</v>
      </c>
      <c r="D297" s="9">
        <v>75465.0</v>
      </c>
      <c r="E297" s="1" t="s">
        <v>13</v>
      </c>
    </row>
    <row r="298">
      <c r="A298" s="1">
        <v>450.0</v>
      </c>
      <c r="B298" s="7">
        <v>11487.0</v>
      </c>
      <c r="C298" s="4">
        <v>19.61</v>
      </c>
      <c r="D298" s="9">
        <v>225260.07</v>
      </c>
      <c r="E298" s="1" t="s">
        <v>13</v>
      </c>
    </row>
    <row r="299">
      <c r="A299" s="1">
        <v>451.0</v>
      </c>
      <c r="B299" s="7">
        <v>377.0</v>
      </c>
      <c r="C299" s="4">
        <v>31.5</v>
      </c>
      <c r="D299" s="9">
        <v>11875.5</v>
      </c>
      <c r="E299" s="1" t="s">
        <v>13</v>
      </c>
    </row>
    <row r="300">
      <c r="A300" s="1">
        <v>452.0</v>
      </c>
      <c r="B300" s="7">
        <v>1304.0</v>
      </c>
      <c r="C300" s="4">
        <v>26.11</v>
      </c>
      <c r="D300" s="9">
        <v>34047.44</v>
      </c>
      <c r="E300" s="1" t="s">
        <v>13</v>
      </c>
    </row>
    <row r="301">
      <c r="A301" s="1">
        <v>453.0</v>
      </c>
      <c r="B301" s="7">
        <v>690.0</v>
      </c>
      <c r="C301" s="4">
        <v>35.6</v>
      </c>
      <c r="D301" s="9">
        <v>24564.0</v>
      </c>
      <c r="E301" s="1" t="s">
        <v>13</v>
      </c>
    </row>
    <row r="302">
      <c r="A302" s="1">
        <v>454.0</v>
      </c>
      <c r="B302" s="7">
        <v>283.0</v>
      </c>
      <c r="C302" s="4">
        <v>59.21</v>
      </c>
      <c r="D302" s="9">
        <v>16756.43</v>
      </c>
      <c r="E302" s="1" t="s">
        <v>13</v>
      </c>
    </row>
    <row r="303">
      <c r="A303" s="1">
        <v>456.0</v>
      </c>
      <c r="B303" s="7">
        <v>3157.0</v>
      </c>
      <c r="C303" s="4">
        <v>19.25</v>
      </c>
      <c r="D303" s="9">
        <v>60772.25</v>
      </c>
      <c r="E303" s="1" t="s">
        <v>55</v>
      </c>
    </row>
    <row r="304">
      <c r="A304" s="1">
        <v>457.0</v>
      </c>
      <c r="B304" s="7">
        <v>98.0</v>
      </c>
      <c r="C304" s="4">
        <v>10.0</v>
      </c>
      <c r="D304" s="9">
        <v>980.0</v>
      </c>
      <c r="E304" s="1" t="s">
        <v>55</v>
      </c>
    </row>
    <row r="305">
      <c r="A305" s="1">
        <v>461.0</v>
      </c>
      <c r="B305" s="7">
        <v>20.0</v>
      </c>
      <c r="C305" s="4">
        <v>81.11</v>
      </c>
      <c r="D305" s="9">
        <v>1622.2</v>
      </c>
      <c r="E305" s="1" t="s">
        <v>41</v>
      </c>
    </row>
    <row r="306">
      <c r="A306" s="1">
        <v>462.0</v>
      </c>
      <c r="B306" s="7">
        <v>14579.0</v>
      </c>
      <c r="C306" s="4">
        <v>11.15</v>
      </c>
      <c r="D306" s="9">
        <v>162555.85</v>
      </c>
      <c r="E306" s="1" t="s">
        <v>55</v>
      </c>
    </row>
    <row r="307">
      <c r="A307" s="1">
        <v>463.0</v>
      </c>
      <c r="B307" s="7">
        <v>3330.0</v>
      </c>
      <c r="C307" s="4">
        <v>15.41</v>
      </c>
      <c r="D307" s="9">
        <v>51315.3</v>
      </c>
      <c r="E307" s="1" t="s">
        <v>13</v>
      </c>
    </row>
    <row r="308">
      <c r="A308" s="1">
        <v>473.0</v>
      </c>
      <c r="B308" s="7">
        <v>458.0</v>
      </c>
      <c r="C308" s="4">
        <v>35.81</v>
      </c>
      <c r="D308" s="9">
        <v>16400.98</v>
      </c>
      <c r="E308" s="1" t="s">
        <v>13</v>
      </c>
    </row>
    <row r="309">
      <c r="A309" s="1">
        <v>474.0</v>
      </c>
      <c r="B309" s="7">
        <v>0.0</v>
      </c>
      <c r="C309" s="4">
        <v>33.5</v>
      </c>
      <c r="D309" s="9">
        <v>0.0</v>
      </c>
      <c r="E309" s="1" t="s">
        <v>13</v>
      </c>
    </row>
    <row r="310">
      <c r="A310" s="1">
        <v>482.0</v>
      </c>
      <c r="B310" s="7">
        <v>90.0</v>
      </c>
      <c r="C310" s="4">
        <v>48.15</v>
      </c>
      <c r="D310" s="9">
        <v>4333.5</v>
      </c>
      <c r="E310" s="1" t="s">
        <v>41</v>
      </c>
    </row>
    <row r="311">
      <c r="A311" s="1">
        <v>487.0</v>
      </c>
      <c r="B311" s="7">
        <v>1175.0</v>
      </c>
      <c r="C311" s="4">
        <v>95.0</v>
      </c>
      <c r="D311" s="9">
        <v>111625.0</v>
      </c>
      <c r="E311" s="1" t="s">
        <v>41</v>
      </c>
    </row>
    <row r="312">
      <c r="A312" s="1">
        <v>488.0</v>
      </c>
      <c r="B312" s="7">
        <v>0.0</v>
      </c>
      <c r="C312" s="4">
        <v>151.25</v>
      </c>
      <c r="D312" s="9">
        <v>0.0</v>
      </c>
      <c r="E312" s="1" t="s">
        <v>41</v>
      </c>
    </row>
    <row r="313">
      <c r="A313" s="1">
        <v>489.0</v>
      </c>
      <c r="B313" s="7">
        <v>10.0</v>
      </c>
      <c r="C313" s="4">
        <v>152.5</v>
      </c>
      <c r="D313" s="9">
        <v>1525.0</v>
      </c>
      <c r="E313" s="1" t="s">
        <v>41</v>
      </c>
    </row>
    <row r="314">
      <c r="A314" s="1">
        <v>490.0</v>
      </c>
      <c r="B314" s="7">
        <v>100.0</v>
      </c>
      <c r="C314" s="4">
        <v>172.85</v>
      </c>
      <c r="D314" s="9">
        <v>17285.0</v>
      </c>
      <c r="E314" s="1" t="s">
        <v>41</v>
      </c>
    </row>
    <row r="315">
      <c r="A315" s="1">
        <v>491.0</v>
      </c>
      <c r="B315" s="7">
        <v>11190.0</v>
      </c>
      <c r="C315" s="4">
        <v>21.25</v>
      </c>
      <c r="D315" s="9">
        <v>237787.5</v>
      </c>
      <c r="E315" s="1" t="s">
        <v>55</v>
      </c>
    </row>
    <row r="316">
      <c r="A316" s="1">
        <v>492.0</v>
      </c>
      <c r="B316" s="7">
        <v>2313.0</v>
      </c>
      <c r="C316" s="4">
        <v>18.25</v>
      </c>
      <c r="D316" s="9">
        <v>42212.25</v>
      </c>
      <c r="E316" s="1" t="s">
        <v>55</v>
      </c>
    </row>
    <row r="317">
      <c r="A317" s="1">
        <v>493.0</v>
      </c>
      <c r="B317" s="7">
        <v>381.0</v>
      </c>
      <c r="C317" s="4">
        <v>11.25</v>
      </c>
      <c r="D317" s="9">
        <v>4286.25</v>
      </c>
      <c r="E317" s="1" t="s">
        <v>55</v>
      </c>
    </row>
    <row r="318">
      <c r="A318" s="1">
        <v>494.0</v>
      </c>
      <c r="B318" s="7">
        <v>900.0</v>
      </c>
      <c r="C318" s="4">
        <v>16.75</v>
      </c>
      <c r="D318" s="9">
        <v>15075.0</v>
      </c>
      <c r="E318" s="1" t="s">
        <v>55</v>
      </c>
    </row>
    <row r="319">
      <c r="A319" s="1">
        <v>495.0</v>
      </c>
      <c r="B319" s="7">
        <v>830.0</v>
      </c>
      <c r="C319" s="4">
        <v>17.75</v>
      </c>
      <c r="D319" s="9">
        <v>14732.5</v>
      </c>
      <c r="E319" s="1" t="s">
        <v>55</v>
      </c>
    </row>
    <row r="320">
      <c r="A320" s="1">
        <v>498.0</v>
      </c>
      <c r="B320" s="7">
        <v>3940.0</v>
      </c>
      <c r="C320" s="4">
        <v>14.25</v>
      </c>
      <c r="D320" s="9">
        <v>56145.0</v>
      </c>
      <c r="E320" s="1" t="s">
        <v>55</v>
      </c>
    </row>
    <row r="321">
      <c r="A321" s="1">
        <v>499.0</v>
      </c>
      <c r="B321" s="7">
        <v>10295.0</v>
      </c>
      <c r="C321" s="4">
        <v>32.75</v>
      </c>
      <c r="D321" s="9">
        <v>337161.25</v>
      </c>
      <c r="E321" s="1" t="s">
        <v>13</v>
      </c>
    </row>
    <row r="322">
      <c r="A322" s="1">
        <v>504.0</v>
      </c>
      <c r="B322" s="7">
        <v>240.0</v>
      </c>
      <c r="C322" s="4">
        <v>12.75</v>
      </c>
      <c r="D322" s="9">
        <v>3060.0</v>
      </c>
      <c r="E322" s="1" t="s">
        <v>13</v>
      </c>
    </row>
    <row r="323">
      <c r="A323" s="1">
        <v>507.0</v>
      </c>
      <c r="B323" s="7">
        <v>70.0</v>
      </c>
      <c r="C323" s="4">
        <v>33.61</v>
      </c>
      <c r="D323" s="9">
        <v>2352.7</v>
      </c>
      <c r="E323" s="1" t="s">
        <v>13</v>
      </c>
    </row>
    <row r="324">
      <c r="A324" s="1">
        <v>508.0</v>
      </c>
      <c r="B324" s="7">
        <v>1410.0</v>
      </c>
      <c r="C324" s="4">
        <v>16.11</v>
      </c>
      <c r="D324" s="9">
        <v>22715.1</v>
      </c>
      <c r="E324" s="1" t="s">
        <v>13</v>
      </c>
    </row>
    <row r="325">
      <c r="A325" s="1">
        <v>510.0</v>
      </c>
      <c r="B325" s="7">
        <v>538.0</v>
      </c>
      <c r="C325" s="4">
        <v>65.0</v>
      </c>
      <c r="D325" s="9">
        <v>34970.0</v>
      </c>
      <c r="E325" s="1" t="s">
        <v>41</v>
      </c>
    </row>
    <row r="326">
      <c r="A326" s="1">
        <v>511.0</v>
      </c>
      <c r="B326" s="7">
        <v>12.0</v>
      </c>
      <c r="C326" s="4">
        <v>161.25</v>
      </c>
      <c r="D326" s="9">
        <v>1935.0</v>
      </c>
      <c r="E326" s="1" t="s">
        <v>41</v>
      </c>
    </row>
    <row r="327">
      <c r="A327" s="1">
        <v>512.0</v>
      </c>
      <c r="B327" s="7">
        <v>1845.0</v>
      </c>
      <c r="C327" s="4">
        <v>16.25</v>
      </c>
      <c r="D327" s="9">
        <v>29981.25</v>
      </c>
      <c r="E327" s="1" t="s">
        <v>55</v>
      </c>
    </row>
    <row r="328">
      <c r="A328" s="1">
        <v>514.0</v>
      </c>
      <c r="B328" s="7">
        <v>20490.0</v>
      </c>
      <c r="C328" s="4">
        <v>15.75</v>
      </c>
      <c r="D328" s="9">
        <v>322717.5</v>
      </c>
      <c r="E328" s="1" t="s">
        <v>13</v>
      </c>
    </row>
    <row r="329">
      <c r="A329" s="1">
        <v>516.0</v>
      </c>
      <c r="B329" s="7">
        <v>155.0</v>
      </c>
      <c r="C329" s="4">
        <v>20.0</v>
      </c>
      <c r="D329" s="9">
        <v>3100.0</v>
      </c>
      <c r="E329" s="1" t="s">
        <v>13</v>
      </c>
    </row>
    <row r="330">
      <c r="A330" s="1">
        <v>517.0</v>
      </c>
      <c r="B330" s="7">
        <v>3811.0</v>
      </c>
      <c r="C330" s="4">
        <v>19.25</v>
      </c>
      <c r="D330" s="9">
        <v>73361.75</v>
      </c>
      <c r="E330" s="1" t="s">
        <v>13</v>
      </c>
    </row>
    <row r="331">
      <c r="A331" s="1">
        <v>522.0</v>
      </c>
      <c r="B331" s="7">
        <v>204.0</v>
      </c>
      <c r="C331" s="4">
        <v>23.75</v>
      </c>
      <c r="D331" s="9">
        <v>4845.0</v>
      </c>
      <c r="E331" s="1" t="s">
        <v>13</v>
      </c>
    </row>
    <row r="332">
      <c r="A332" s="1">
        <v>526.0</v>
      </c>
      <c r="B332" s="7">
        <v>1312.0</v>
      </c>
      <c r="C332" s="4">
        <v>21.36</v>
      </c>
      <c r="D332" s="9">
        <v>28024.32</v>
      </c>
      <c r="E332" s="1" t="s">
        <v>13</v>
      </c>
    </row>
    <row r="333">
      <c r="A333" s="1">
        <v>532.0</v>
      </c>
      <c r="B333" s="7">
        <v>270.0</v>
      </c>
      <c r="C333" s="4">
        <v>20.11</v>
      </c>
      <c r="D333" s="9">
        <v>5429.7</v>
      </c>
      <c r="E333" s="1" t="s">
        <v>13</v>
      </c>
    </row>
    <row r="334">
      <c r="A334" s="1">
        <v>533.0</v>
      </c>
      <c r="B334" s="7">
        <v>30.0</v>
      </c>
      <c r="C334" s="4">
        <v>65.25</v>
      </c>
      <c r="D334" s="9">
        <v>1957.5</v>
      </c>
      <c r="E334" s="1" t="s">
        <v>41</v>
      </c>
    </row>
    <row r="335">
      <c r="A335" s="1">
        <v>537.0</v>
      </c>
      <c r="B335" s="7">
        <v>800.0</v>
      </c>
      <c r="C335" s="4">
        <v>30.0</v>
      </c>
      <c r="D335" s="9">
        <v>24000.0</v>
      </c>
      <c r="E335" s="1" t="s">
        <v>13</v>
      </c>
    </row>
    <row r="336">
      <c r="A336" s="1">
        <v>538.0</v>
      </c>
      <c r="B336" s="7">
        <v>470.0</v>
      </c>
      <c r="C336" s="4">
        <v>17.01</v>
      </c>
      <c r="D336" s="9">
        <v>7994.700000000001</v>
      </c>
      <c r="E336" s="1" t="s">
        <v>13</v>
      </c>
    </row>
    <row r="337">
      <c r="A337" s="1">
        <v>539.0</v>
      </c>
      <c r="B337" s="7">
        <v>570.0</v>
      </c>
      <c r="C337" s="4">
        <v>14.71</v>
      </c>
      <c r="D337" s="9">
        <v>8384.7</v>
      </c>
      <c r="E337" s="1" t="s">
        <v>13</v>
      </c>
    </row>
    <row r="338">
      <c r="A338" s="1">
        <v>540.0</v>
      </c>
      <c r="B338" s="7">
        <v>4520.0</v>
      </c>
      <c r="C338" s="4">
        <v>81.65</v>
      </c>
      <c r="D338" s="9">
        <v>369058.0</v>
      </c>
      <c r="E338" s="1" t="s">
        <v>41</v>
      </c>
    </row>
    <row r="339">
      <c r="A339" s="1">
        <v>542.0</v>
      </c>
      <c r="B339" s="7">
        <v>165.0</v>
      </c>
      <c r="C339" s="4">
        <v>27.61</v>
      </c>
      <c r="D339" s="9">
        <v>4555.65</v>
      </c>
      <c r="E339" s="1" t="s">
        <v>13</v>
      </c>
    </row>
    <row r="340">
      <c r="A340" s="1">
        <v>543.0</v>
      </c>
      <c r="B340" s="7">
        <v>738.0</v>
      </c>
      <c r="C340" s="4">
        <v>27.0</v>
      </c>
      <c r="D340" s="9">
        <v>19926.0</v>
      </c>
      <c r="E340" s="1" t="s">
        <v>13</v>
      </c>
    </row>
    <row r="341">
      <c r="A341" s="1">
        <v>545.0</v>
      </c>
      <c r="B341" s="7">
        <v>2002.0</v>
      </c>
      <c r="C341" s="4">
        <v>42.0</v>
      </c>
      <c r="D341" s="9">
        <v>84084.0</v>
      </c>
      <c r="E341" s="1" t="s">
        <v>13</v>
      </c>
    </row>
    <row r="342">
      <c r="A342" s="1">
        <v>547.0</v>
      </c>
      <c r="B342" s="7">
        <v>125.0</v>
      </c>
      <c r="C342" s="4">
        <v>120.65</v>
      </c>
      <c r="D342" s="9">
        <v>15081.25</v>
      </c>
      <c r="E342" s="1" t="s">
        <v>41</v>
      </c>
    </row>
    <row r="343">
      <c r="A343" s="1">
        <v>550.0</v>
      </c>
      <c r="B343" s="7">
        <v>0.0</v>
      </c>
      <c r="C343" s="4">
        <v>89.0</v>
      </c>
      <c r="D343" s="9">
        <v>0.0</v>
      </c>
      <c r="E343" s="1" t="s">
        <v>41</v>
      </c>
    </row>
    <row r="344">
      <c r="A344" s="1">
        <v>551.0</v>
      </c>
      <c r="B344" s="7">
        <v>100.0</v>
      </c>
      <c r="C344" s="4">
        <v>80.65</v>
      </c>
      <c r="D344" s="9">
        <v>8065.000000000001</v>
      </c>
      <c r="E344" s="1" t="s">
        <v>41</v>
      </c>
    </row>
    <row r="345">
      <c r="A345" s="1">
        <v>553.0</v>
      </c>
      <c r="B345" s="7">
        <v>50.0</v>
      </c>
      <c r="C345" s="4">
        <v>55.65</v>
      </c>
      <c r="D345" s="9">
        <v>2782.5</v>
      </c>
      <c r="E345" s="1" t="s">
        <v>41</v>
      </c>
    </row>
    <row r="346">
      <c r="A346" s="1">
        <v>569.0</v>
      </c>
      <c r="B346" s="7">
        <v>150.0</v>
      </c>
      <c r="C346" s="4">
        <v>23.5</v>
      </c>
      <c r="D346" s="9">
        <v>3525.0</v>
      </c>
      <c r="E346" s="1" t="s">
        <v>13</v>
      </c>
    </row>
    <row r="347">
      <c r="A347" s="1">
        <v>14001.0</v>
      </c>
      <c r="B347" s="7">
        <v>90.0</v>
      </c>
      <c r="C347" s="4">
        <v>59.25</v>
      </c>
      <c r="D347" s="9">
        <v>5332.5</v>
      </c>
      <c r="E347" s="1" t="s">
        <v>41</v>
      </c>
    </row>
    <row r="348">
      <c r="A348" s="1">
        <v>14009.0</v>
      </c>
      <c r="B348" s="7">
        <v>4020.0</v>
      </c>
      <c r="C348" s="4">
        <v>79.95</v>
      </c>
      <c r="D348" s="9">
        <v>321399.0</v>
      </c>
      <c r="E348" s="1" t="s">
        <v>41</v>
      </c>
    </row>
    <row r="349">
      <c r="A349" s="1">
        <v>14030.0</v>
      </c>
      <c r="B349" s="7">
        <v>39.0</v>
      </c>
      <c r="C349" s="4">
        <v>89.05</v>
      </c>
      <c r="D349" s="9">
        <v>3472.95</v>
      </c>
      <c r="E349" s="1" t="s">
        <v>41</v>
      </c>
    </row>
    <row r="350">
      <c r="A350" s="1">
        <v>14033.0</v>
      </c>
      <c r="B350" s="7">
        <v>269.0</v>
      </c>
      <c r="C350" s="4">
        <v>88.25</v>
      </c>
      <c r="D350" s="9">
        <v>23739.25</v>
      </c>
      <c r="E350" s="1" t="s">
        <v>41</v>
      </c>
    </row>
    <row r="351">
      <c r="A351" s="1" t="s">
        <v>59</v>
      </c>
      <c r="B351" s="7">
        <v>227707.0</v>
      </c>
      <c r="C351" s="25"/>
      <c r="D351" s="7">
        <v>6093569.840000001</v>
      </c>
    </row>
    <row r="352">
      <c r="A352" s="1"/>
      <c r="B352" s="7"/>
      <c r="C352" s="25"/>
      <c r="D352" s="9"/>
    </row>
    <row r="353">
      <c r="A353" s="1"/>
      <c r="B353" s="7"/>
      <c r="C353" s="25"/>
      <c r="D353" s="9"/>
    </row>
    <row r="354">
      <c r="A354" s="1"/>
      <c r="B354" s="7"/>
      <c r="C354" s="25"/>
      <c r="D354" s="9"/>
    </row>
    <row r="355">
      <c r="A355" s="1" t="s">
        <v>1</v>
      </c>
      <c r="B355" s="3" t="s">
        <v>4</v>
      </c>
      <c r="C355" s="4" t="s">
        <v>7</v>
      </c>
      <c r="D355" s="6" t="s">
        <v>8</v>
      </c>
      <c r="E355" s="1" t="s">
        <v>9</v>
      </c>
      <c r="F355" s="1" t="s">
        <v>77</v>
      </c>
    </row>
    <row r="356">
      <c r="A356" s="1" t="s">
        <v>11</v>
      </c>
      <c r="B356" s="7">
        <v>9487.0</v>
      </c>
      <c r="C356" s="4">
        <v>7.76</v>
      </c>
      <c r="D356" s="9">
        <v>73619.12</v>
      </c>
      <c r="E356" s="1" t="s">
        <v>13</v>
      </c>
    </row>
    <row r="357">
      <c r="A357" s="1" t="s">
        <v>14</v>
      </c>
      <c r="B357" s="7">
        <v>7113.0</v>
      </c>
      <c r="C357" s="4">
        <v>13.16</v>
      </c>
      <c r="D357" s="9">
        <v>93607.08</v>
      </c>
      <c r="E357" s="1" t="s">
        <v>13</v>
      </c>
    </row>
    <row r="358">
      <c r="A358" s="1">
        <v>325.0</v>
      </c>
      <c r="B358" s="3">
        <v>0.0</v>
      </c>
      <c r="C358" s="4">
        <v>18.0</v>
      </c>
      <c r="D358" s="9">
        <v>0.0</v>
      </c>
      <c r="E358" s="1" t="s">
        <v>13</v>
      </c>
    </row>
    <row r="359">
      <c r="A359" s="1">
        <v>329.0</v>
      </c>
      <c r="B359" s="3">
        <v>0.0</v>
      </c>
      <c r="C359" s="4">
        <v>17.5</v>
      </c>
      <c r="D359" s="9">
        <v>0.0</v>
      </c>
      <c r="E359" s="1" t="s">
        <v>13</v>
      </c>
    </row>
    <row r="360">
      <c r="A360" s="1" t="s">
        <v>26</v>
      </c>
      <c r="B360" s="3">
        <v>13910.0</v>
      </c>
      <c r="C360" s="4">
        <v>18.2</v>
      </c>
      <c r="D360" s="9">
        <v>253162.0</v>
      </c>
      <c r="E360" s="1" t="s">
        <v>13</v>
      </c>
    </row>
    <row r="361">
      <c r="A361" s="1">
        <v>336.0</v>
      </c>
      <c r="B361" s="3">
        <v>0.0</v>
      </c>
      <c r="C361" s="4">
        <v>18.33</v>
      </c>
      <c r="D361" s="9">
        <v>0.0</v>
      </c>
      <c r="E361" s="1" t="s">
        <v>13</v>
      </c>
    </row>
    <row r="362">
      <c r="A362" s="1">
        <v>340.0</v>
      </c>
      <c r="B362" s="3">
        <v>0.0</v>
      </c>
      <c r="C362" s="4">
        <v>14.75</v>
      </c>
      <c r="D362" s="9">
        <v>0.0</v>
      </c>
      <c r="E362" s="1" t="s">
        <v>13</v>
      </c>
    </row>
    <row r="363">
      <c r="A363" s="1">
        <v>362.0</v>
      </c>
      <c r="B363" s="15">
        <v>15709.0</v>
      </c>
      <c r="C363" s="4">
        <v>25.0</v>
      </c>
      <c r="D363" s="9">
        <v>392725.0</v>
      </c>
      <c r="E363" s="1" t="s">
        <v>13</v>
      </c>
    </row>
    <row r="364">
      <c r="A364" s="1">
        <v>367.0</v>
      </c>
      <c r="B364" s="7">
        <v>8631.0</v>
      </c>
      <c r="C364" s="4">
        <v>19.0</v>
      </c>
      <c r="D364" s="9">
        <v>163989.0</v>
      </c>
      <c r="E364" s="1" t="s">
        <v>13</v>
      </c>
    </row>
    <row r="365">
      <c r="A365" s="1">
        <v>373.0</v>
      </c>
      <c r="B365" s="3">
        <v>0.0</v>
      </c>
      <c r="C365" s="4">
        <v>22.45</v>
      </c>
      <c r="D365" s="9">
        <v>0.0</v>
      </c>
      <c r="E365" s="1" t="s">
        <v>13</v>
      </c>
    </row>
    <row r="366">
      <c r="A366" s="1">
        <v>374.0</v>
      </c>
      <c r="B366" s="3">
        <v>0.0</v>
      </c>
      <c r="C366" s="4">
        <v>19.05</v>
      </c>
      <c r="D366" s="9">
        <v>0.0</v>
      </c>
      <c r="E366" s="1" t="s">
        <v>13</v>
      </c>
    </row>
    <row r="367">
      <c r="A367" s="1">
        <v>376.0</v>
      </c>
      <c r="B367" s="3">
        <v>0.0</v>
      </c>
      <c r="C367" s="4">
        <v>16.25</v>
      </c>
      <c r="D367" s="9">
        <v>0.0</v>
      </c>
      <c r="E367" s="1" t="s">
        <v>13</v>
      </c>
    </row>
    <row r="368">
      <c r="A368" s="1">
        <v>380.0</v>
      </c>
      <c r="B368" s="7">
        <v>2685.0</v>
      </c>
      <c r="C368" s="4">
        <v>105.0</v>
      </c>
      <c r="D368" s="9">
        <v>281925.0</v>
      </c>
      <c r="E368" s="1" t="s">
        <v>41</v>
      </c>
    </row>
    <row r="369">
      <c r="A369" s="1">
        <v>388.0</v>
      </c>
      <c r="B369" s="7">
        <v>5390.0</v>
      </c>
      <c r="C369" s="4">
        <v>13.76</v>
      </c>
      <c r="D369" s="9">
        <v>74166.4</v>
      </c>
      <c r="E369" s="1" t="s">
        <v>13</v>
      </c>
    </row>
    <row r="370">
      <c r="A370" s="1" t="s">
        <v>44</v>
      </c>
      <c r="B370" s="3">
        <v>0.0</v>
      </c>
      <c r="C370" s="4">
        <v>17.6</v>
      </c>
      <c r="D370" s="9">
        <v>0.0</v>
      </c>
      <c r="E370" s="1" t="s">
        <v>13</v>
      </c>
    </row>
    <row r="371">
      <c r="A371" s="1">
        <v>389.0</v>
      </c>
      <c r="B371" s="3">
        <v>0.0</v>
      </c>
      <c r="C371" s="4">
        <v>21.24</v>
      </c>
      <c r="D371" s="9">
        <v>0.0</v>
      </c>
      <c r="E371" s="1" t="s">
        <v>13</v>
      </c>
    </row>
    <row r="372">
      <c r="A372" s="1">
        <v>393.0</v>
      </c>
      <c r="B372" s="3">
        <v>0.0</v>
      </c>
      <c r="C372" s="4">
        <v>22.75</v>
      </c>
      <c r="D372" s="9">
        <v>0.0</v>
      </c>
      <c r="E372" s="1" t="s">
        <v>13</v>
      </c>
    </row>
    <row r="373">
      <c r="A373" s="1">
        <v>394.0</v>
      </c>
      <c r="B373" s="7">
        <v>1363.0</v>
      </c>
      <c r="C373" s="4">
        <v>21.91</v>
      </c>
      <c r="D373" s="9">
        <v>29863.33</v>
      </c>
      <c r="E373" s="1" t="s">
        <v>13</v>
      </c>
    </row>
    <row r="374">
      <c r="A374" s="1">
        <v>395.0</v>
      </c>
      <c r="B374" s="7">
        <v>473.0</v>
      </c>
      <c r="C374" s="4">
        <v>20.41</v>
      </c>
      <c r="D374" s="9">
        <v>9653.93</v>
      </c>
      <c r="E374" s="1" t="s">
        <v>13</v>
      </c>
    </row>
    <row r="375">
      <c r="A375" s="1">
        <v>398.0</v>
      </c>
      <c r="B375" s="7">
        <v>7054.0</v>
      </c>
      <c r="C375" s="4">
        <v>18.31</v>
      </c>
      <c r="D375" s="9">
        <v>129158.73999999999</v>
      </c>
      <c r="E375" s="1" t="s">
        <v>13</v>
      </c>
    </row>
    <row r="376">
      <c r="A376" s="1">
        <v>407.0</v>
      </c>
      <c r="B376" s="3">
        <v>0.0</v>
      </c>
      <c r="C376" s="4">
        <v>16.61</v>
      </c>
      <c r="D376" s="9">
        <v>0.0</v>
      </c>
      <c r="E376" s="1" t="s">
        <v>13</v>
      </c>
    </row>
    <row r="377">
      <c r="A377" s="1">
        <v>412.0</v>
      </c>
      <c r="B377" s="7">
        <v>1570.0</v>
      </c>
      <c r="C377" s="4">
        <v>50.25</v>
      </c>
      <c r="D377" s="9">
        <v>78892.5</v>
      </c>
      <c r="E377" s="1" t="s">
        <v>41</v>
      </c>
    </row>
    <row r="378">
      <c r="A378" s="1">
        <v>421.0</v>
      </c>
      <c r="B378" s="7">
        <v>439.0</v>
      </c>
      <c r="C378" s="4">
        <v>25.25</v>
      </c>
      <c r="D378" s="9">
        <v>11084.75</v>
      </c>
      <c r="E378" s="1" t="s">
        <v>13</v>
      </c>
    </row>
    <row r="379">
      <c r="A379" s="1">
        <v>427.0</v>
      </c>
      <c r="B379" s="7">
        <v>71.0</v>
      </c>
      <c r="C379" s="4">
        <v>61.25</v>
      </c>
      <c r="D379" s="9">
        <v>4348.75</v>
      </c>
      <c r="E379" s="1" t="s">
        <v>41</v>
      </c>
    </row>
    <row r="380">
      <c r="A380" s="1">
        <v>430.0</v>
      </c>
      <c r="B380" s="7">
        <v>790.0</v>
      </c>
      <c r="C380" s="4">
        <v>27.7</v>
      </c>
      <c r="D380" s="9">
        <v>21883.0</v>
      </c>
      <c r="E380" s="1" t="s">
        <v>13</v>
      </c>
    </row>
    <row r="381">
      <c r="A381" s="1">
        <v>432.0</v>
      </c>
      <c r="B381" s="3">
        <v>0.0</v>
      </c>
      <c r="C381" s="4">
        <v>13.5</v>
      </c>
      <c r="D381" s="9">
        <v>0.0</v>
      </c>
      <c r="E381" s="1" t="s">
        <v>13</v>
      </c>
    </row>
    <row r="382">
      <c r="A382" s="1">
        <v>437.0</v>
      </c>
      <c r="B382" s="7">
        <v>4100.0</v>
      </c>
      <c r="C382" s="4">
        <v>96.25</v>
      </c>
      <c r="D382" s="9">
        <v>394625.0</v>
      </c>
      <c r="E382" s="1" t="s">
        <v>41</v>
      </c>
    </row>
    <row r="383">
      <c r="A383" s="1">
        <v>439.0</v>
      </c>
      <c r="B383" s="7">
        <v>13388.0</v>
      </c>
      <c r="C383" s="4">
        <v>26.41</v>
      </c>
      <c r="D383" s="9">
        <v>353577.08</v>
      </c>
      <c r="E383" s="1" t="s">
        <v>13</v>
      </c>
    </row>
    <row r="384">
      <c r="A384" s="1">
        <v>441.0</v>
      </c>
      <c r="B384" s="3">
        <v>0.0</v>
      </c>
      <c r="C384" s="4">
        <v>16.6</v>
      </c>
      <c r="D384" s="9">
        <v>0.0</v>
      </c>
      <c r="E384" s="1" t="s">
        <v>13</v>
      </c>
    </row>
    <row r="385">
      <c r="A385" s="1">
        <v>444.0</v>
      </c>
      <c r="B385" s="3">
        <v>0.0</v>
      </c>
      <c r="C385" s="4">
        <v>14.36</v>
      </c>
      <c r="D385" s="9">
        <v>0.0</v>
      </c>
      <c r="E385" s="1" t="s">
        <v>13</v>
      </c>
    </row>
    <row r="386">
      <c r="A386" s="1">
        <v>448.0</v>
      </c>
      <c r="B386" s="7">
        <v>1436.0</v>
      </c>
      <c r="C386" s="4">
        <v>39.0</v>
      </c>
      <c r="D386" s="9">
        <v>56004.0</v>
      </c>
      <c r="E386" s="1" t="s">
        <v>13</v>
      </c>
    </row>
    <row r="387">
      <c r="A387" s="1">
        <v>450.0</v>
      </c>
      <c r="B387" s="7">
        <v>8388.0</v>
      </c>
      <c r="C387" s="4">
        <v>19.61</v>
      </c>
      <c r="D387" s="9">
        <v>164488.68</v>
      </c>
      <c r="E387" s="1" t="s">
        <v>13</v>
      </c>
    </row>
    <row r="388">
      <c r="A388" s="1">
        <v>451.0</v>
      </c>
      <c r="B388" s="3">
        <v>0.0</v>
      </c>
      <c r="C388" s="4">
        <v>31.5</v>
      </c>
      <c r="D388" s="9">
        <v>0.0</v>
      </c>
      <c r="E388" s="1" t="s">
        <v>13</v>
      </c>
    </row>
    <row r="389">
      <c r="A389" s="1">
        <v>452.0</v>
      </c>
      <c r="B389" s="7">
        <v>1263.0</v>
      </c>
      <c r="C389" s="4">
        <v>26.11</v>
      </c>
      <c r="D389" s="9">
        <v>32976.93</v>
      </c>
      <c r="E389" s="1" t="s">
        <v>13</v>
      </c>
    </row>
    <row r="390">
      <c r="A390" s="1">
        <v>453.0</v>
      </c>
      <c r="B390" s="7">
        <v>430.0</v>
      </c>
      <c r="C390" s="4">
        <v>35.6</v>
      </c>
      <c r="D390" s="9">
        <v>15308.0</v>
      </c>
      <c r="E390" s="1" t="s">
        <v>13</v>
      </c>
    </row>
    <row r="391">
      <c r="A391" s="1">
        <v>454.0</v>
      </c>
      <c r="B391" s="3">
        <v>0.0</v>
      </c>
      <c r="C391" s="4">
        <v>59.21</v>
      </c>
      <c r="D391" s="9">
        <v>0.0</v>
      </c>
      <c r="E391" s="1" t="s">
        <v>13</v>
      </c>
    </row>
    <row r="392">
      <c r="A392" s="1">
        <v>456.0</v>
      </c>
      <c r="B392" s="7">
        <v>2994.0</v>
      </c>
      <c r="C392" s="4">
        <v>19.25</v>
      </c>
      <c r="D392" s="9">
        <v>57634.5</v>
      </c>
      <c r="E392" s="1" t="s">
        <v>55</v>
      </c>
    </row>
    <row r="393">
      <c r="A393" s="1">
        <v>457.0</v>
      </c>
      <c r="B393" s="7">
        <v>98.0</v>
      </c>
      <c r="C393" s="4">
        <v>10.0</v>
      </c>
      <c r="D393" s="9">
        <v>980.0</v>
      </c>
      <c r="E393" s="1" t="s">
        <v>55</v>
      </c>
    </row>
    <row r="394">
      <c r="A394" s="1">
        <v>461.0</v>
      </c>
      <c r="B394" s="7">
        <v>20.0</v>
      </c>
      <c r="C394" s="4">
        <v>81.11</v>
      </c>
      <c r="D394" s="9">
        <v>1622.2</v>
      </c>
      <c r="E394" s="1" t="s">
        <v>41</v>
      </c>
    </row>
    <row r="395">
      <c r="A395" s="1">
        <v>462.0</v>
      </c>
      <c r="B395" s="7">
        <v>9533.0</v>
      </c>
      <c r="C395" s="4">
        <v>11.15</v>
      </c>
      <c r="D395" s="9">
        <v>106292.95</v>
      </c>
      <c r="E395" s="1" t="s">
        <v>55</v>
      </c>
    </row>
    <row r="396">
      <c r="A396" s="1">
        <v>463.0</v>
      </c>
      <c r="B396" s="7">
        <v>2456.0</v>
      </c>
      <c r="C396" s="4">
        <v>15.41</v>
      </c>
      <c r="D396" s="9">
        <v>37846.96</v>
      </c>
      <c r="E396" s="1" t="s">
        <v>13</v>
      </c>
    </row>
    <row r="397">
      <c r="A397" s="1">
        <v>473.0</v>
      </c>
      <c r="B397" s="7">
        <v>458.0</v>
      </c>
      <c r="C397" s="4">
        <v>35.81</v>
      </c>
      <c r="D397" s="9">
        <v>16400.98</v>
      </c>
      <c r="E397" s="1" t="s">
        <v>13</v>
      </c>
    </row>
    <row r="398">
      <c r="A398" s="1">
        <v>474.0</v>
      </c>
      <c r="B398" s="7">
        <v>150.0</v>
      </c>
      <c r="C398" s="4">
        <v>33.5</v>
      </c>
      <c r="D398" s="9">
        <v>5025.0</v>
      </c>
      <c r="E398" s="1" t="s">
        <v>13</v>
      </c>
    </row>
    <row r="399">
      <c r="A399" s="1">
        <v>482.0</v>
      </c>
      <c r="B399" s="7">
        <v>0.0</v>
      </c>
      <c r="C399" s="4">
        <v>48.15</v>
      </c>
      <c r="D399" s="9">
        <v>0.0</v>
      </c>
      <c r="E399" s="1" t="s">
        <v>41</v>
      </c>
    </row>
    <row r="400">
      <c r="A400" s="1">
        <v>487.0</v>
      </c>
      <c r="B400" s="7">
        <v>676.0</v>
      </c>
      <c r="C400" s="4">
        <v>95.0</v>
      </c>
      <c r="D400" s="9">
        <v>64220.0</v>
      </c>
      <c r="E400" s="1" t="s">
        <v>41</v>
      </c>
    </row>
    <row r="401">
      <c r="A401" s="1">
        <v>488.0</v>
      </c>
      <c r="B401" s="7">
        <v>0.0</v>
      </c>
      <c r="C401" s="4">
        <v>151.25</v>
      </c>
      <c r="D401" s="9">
        <v>0.0</v>
      </c>
      <c r="E401" s="1" t="s">
        <v>41</v>
      </c>
    </row>
    <row r="402">
      <c r="A402" s="1">
        <v>489.0</v>
      </c>
      <c r="B402" s="7">
        <v>30.0</v>
      </c>
      <c r="C402" s="4">
        <v>152.5</v>
      </c>
      <c r="D402" s="9">
        <v>4575.0</v>
      </c>
      <c r="E402" s="1" t="s">
        <v>41</v>
      </c>
    </row>
    <row r="403">
      <c r="A403" s="1">
        <v>490.0</v>
      </c>
      <c r="B403" s="7">
        <v>50.0</v>
      </c>
      <c r="C403" s="4">
        <v>172.85</v>
      </c>
      <c r="D403" s="9">
        <v>8642.5</v>
      </c>
      <c r="E403" s="1" t="s">
        <v>41</v>
      </c>
    </row>
    <row r="404">
      <c r="A404" s="1">
        <v>491.0</v>
      </c>
      <c r="B404" s="7">
        <v>7879.0</v>
      </c>
      <c r="C404" s="4">
        <v>21.25</v>
      </c>
      <c r="D404" s="9">
        <v>167428.75</v>
      </c>
      <c r="E404" s="1" t="s">
        <v>55</v>
      </c>
    </row>
    <row r="405">
      <c r="A405" s="1">
        <v>492.0</v>
      </c>
      <c r="B405" s="7">
        <v>2303.0</v>
      </c>
      <c r="C405" s="4">
        <v>18.25</v>
      </c>
      <c r="D405" s="9">
        <v>42029.75</v>
      </c>
      <c r="E405" s="1" t="s">
        <v>55</v>
      </c>
    </row>
    <row r="406">
      <c r="A406" s="1">
        <v>493.0</v>
      </c>
      <c r="B406" s="7">
        <v>341.0</v>
      </c>
      <c r="C406" s="4">
        <v>11.25</v>
      </c>
      <c r="D406" s="9">
        <v>3836.25</v>
      </c>
      <c r="E406" s="1" t="s">
        <v>55</v>
      </c>
    </row>
    <row r="407">
      <c r="A407" s="1">
        <v>494.0</v>
      </c>
      <c r="B407" s="7">
        <v>590.0</v>
      </c>
      <c r="C407" s="4">
        <v>16.75</v>
      </c>
      <c r="D407" s="9">
        <v>9882.5</v>
      </c>
      <c r="E407" s="1" t="s">
        <v>55</v>
      </c>
    </row>
    <row r="408">
      <c r="A408" s="1">
        <v>495.0</v>
      </c>
      <c r="B408" s="7">
        <v>710.0</v>
      </c>
      <c r="C408" s="4">
        <v>17.75</v>
      </c>
      <c r="D408" s="9">
        <v>12602.5</v>
      </c>
      <c r="E408" s="1" t="s">
        <v>55</v>
      </c>
    </row>
    <row r="409">
      <c r="A409" s="1">
        <v>498.0</v>
      </c>
      <c r="B409" s="7">
        <v>2703.0</v>
      </c>
      <c r="C409" s="4">
        <v>14.25</v>
      </c>
      <c r="D409" s="9">
        <v>38517.75</v>
      </c>
      <c r="E409" s="1" t="s">
        <v>55</v>
      </c>
    </row>
    <row r="410">
      <c r="A410" s="1">
        <v>499.0</v>
      </c>
      <c r="B410" s="7">
        <v>3931.0</v>
      </c>
      <c r="C410" s="4">
        <v>32.75</v>
      </c>
      <c r="D410" s="9">
        <v>128740.25</v>
      </c>
      <c r="E410" s="1" t="s">
        <v>13</v>
      </c>
    </row>
    <row r="411">
      <c r="A411" s="1">
        <v>504.0</v>
      </c>
      <c r="B411" s="7">
        <v>230.0</v>
      </c>
      <c r="C411" s="4">
        <v>12.75</v>
      </c>
      <c r="D411" s="9">
        <v>2932.5</v>
      </c>
      <c r="E411" s="1" t="s">
        <v>13</v>
      </c>
    </row>
    <row r="412">
      <c r="A412" s="1">
        <v>507.0</v>
      </c>
      <c r="B412" s="7">
        <v>50.0</v>
      </c>
      <c r="C412" s="4">
        <v>33.61</v>
      </c>
      <c r="D412" s="9">
        <v>1680.5</v>
      </c>
      <c r="E412" s="1" t="s">
        <v>13</v>
      </c>
    </row>
    <row r="413">
      <c r="A413" s="1">
        <v>508.0</v>
      </c>
      <c r="B413" s="7">
        <v>993.0</v>
      </c>
      <c r="C413" s="4">
        <v>16.11</v>
      </c>
      <c r="D413" s="9">
        <v>15997.23</v>
      </c>
      <c r="E413" s="1" t="s">
        <v>13</v>
      </c>
    </row>
    <row r="414">
      <c r="A414" s="1">
        <v>510.0</v>
      </c>
      <c r="B414" s="7">
        <v>538.0</v>
      </c>
      <c r="C414" s="4">
        <v>65.0</v>
      </c>
      <c r="D414" s="9">
        <v>34970.0</v>
      </c>
      <c r="E414" s="1" t="s">
        <v>41</v>
      </c>
    </row>
    <row r="415">
      <c r="A415" s="1">
        <v>511.0</v>
      </c>
      <c r="B415" s="7">
        <v>12.0</v>
      </c>
      <c r="C415" s="4">
        <v>161.25</v>
      </c>
      <c r="D415" s="9">
        <v>1935.0</v>
      </c>
      <c r="E415" s="1" t="s">
        <v>41</v>
      </c>
    </row>
    <row r="416">
      <c r="A416" s="1">
        <v>512.0</v>
      </c>
      <c r="B416" s="7">
        <v>720.0</v>
      </c>
      <c r="C416" s="4">
        <v>16.25</v>
      </c>
      <c r="D416" s="9">
        <v>11700.0</v>
      </c>
      <c r="E416" s="1" t="s">
        <v>55</v>
      </c>
    </row>
    <row r="417">
      <c r="A417" s="1">
        <v>514.0</v>
      </c>
      <c r="B417" s="7">
        <v>15800.0</v>
      </c>
      <c r="C417" s="4">
        <v>15.75</v>
      </c>
      <c r="D417" s="9">
        <v>248850.0</v>
      </c>
      <c r="E417" s="1" t="s">
        <v>13</v>
      </c>
    </row>
    <row r="418">
      <c r="A418" s="1">
        <v>516.0</v>
      </c>
      <c r="B418" s="7">
        <v>191.0</v>
      </c>
      <c r="C418" s="4">
        <v>20.0</v>
      </c>
      <c r="D418" s="9">
        <v>3820.0</v>
      </c>
      <c r="E418" s="1" t="s">
        <v>13</v>
      </c>
    </row>
    <row r="419">
      <c r="A419" s="1">
        <v>517.0</v>
      </c>
      <c r="B419" s="7">
        <v>2509.0</v>
      </c>
      <c r="C419" s="4">
        <v>19.25</v>
      </c>
      <c r="D419" s="9">
        <v>48298.25</v>
      </c>
      <c r="E419" s="1" t="s">
        <v>13</v>
      </c>
    </row>
    <row r="420">
      <c r="A420" s="1">
        <v>522.0</v>
      </c>
      <c r="B420" s="7">
        <v>204.0</v>
      </c>
      <c r="C420" s="4">
        <v>23.75</v>
      </c>
      <c r="D420" s="9">
        <v>4845.0</v>
      </c>
      <c r="E420" s="1" t="s">
        <v>13</v>
      </c>
    </row>
    <row r="421">
      <c r="A421" s="1">
        <v>526.0</v>
      </c>
      <c r="B421" s="7">
        <v>1137.0</v>
      </c>
      <c r="C421" s="4">
        <v>21.36</v>
      </c>
      <c r="D421" s="9">
        <v>24286.32</v>
      </c>
      <c r="E421" s="1" t="s">
        <v>13</v>
      </c>
    </row>
    <row r="422">
      <c r="A422" s="1">
        <v>532.0</v>
      </c>
      <c r="B422" s="7">
        <v>270.0</v>
      </c>
      <c r="C422" s="4">
        <v>20.11</v>
      </c>
      <c r="D422" s="9">
        <v>5429.7</v>
      </c>
      <c r="E422" s="1" t="s">
        <v>13</v>
      </c>
    </row>
    <row r="423">
      <c r="A423" s="1">
        <v>533.0</v>
      </c>
      <c r="B423" s="7">
        <v>30.0</v>
      </c>
      <c r="C423" s="4">
        <v>65.25</v>
      </c>
      <c r="D423" s="9">
        <v>1957.5</v>
      </c>
      <c r="E423" s="1" t="s">
        <v>41</v>
      </c>
    </row>
    <row r="424">
      <c r="A424" s="1">
        <v>537.0</v>
      </c>
      <c r="B424" s="7">
        <v>625.0</v>
      </c>
      <c r="C424" s="4">
        <v>30.0</v>
      </c>
      <c r="D424" s="9">
        <v>18750.0</v>
      </c>
      <c r="E424" s="1" t="s">
        <v>13</v>
      </c>
    </row>
    <row r="425">
      <c r="A425" s="1">
        <v>538.0</v>
      </c>
      <c r="B425" s="7">
        <v>830.0</v>
      </c>
      <c r="C425" s="4">
        <v>17.01</v>
      </c>
      <c r="D425" s="9">
        <v>14118.300000000001</v>
      </c>
      <c r="E425" s="1" t="s">
        <v>13</v>
      </c>
    </row>
    <row r="426">
      <c r="A426" s="1">
        <v>539.0</v>
      </c>
      <c r="B426" s="7">
        <v>940.0</v>
      </c>
      <c r="C426" s="4">
        <v>14.71</v>
      </c>
      <c r="D426" s="9">
        <v>13827.400000000001</v>
      </c>
      <c r="E426" s="1" t="s">
        <v>13</v>
      </c>
    </row>
    <row r="427">
      <c r="A427" s="1">
        <v>540.0</v>
      </c>
      <c r="B427" s="7">
        <v>2510.0</v>
      </c>
      <c r="C427" s="4">
        <v>81.65</v>
      </c>
      <c r="D427" s="9">
        <v>204941.5</v>
      </c>
      <c r="E427" s="1" t="s">
        <v>41</v>
      </c>
    </row>
    <row r="428">
      <c r="A428" s="1">
        <v>542.0</v>
      </c>
      <c r="B428" s="7">
        <v>125.0</v>
      </c>
      <c r="C428" s="4">
        <v>27.61</v>
      </c>
      <c r="D428" s="9">
        <v>3451.25</v>
      </c>
      <c r="E428" s="1" t="s">
        <v>13</v>
      </c>
    </row>
    <row r="429">
      <c r="A429" s="1">
        <v>543.0</v>
      </c>
      <c r="B429" s="7">
        <v>435.0</v>
      </c>
      <c r="C429" s="4">
        <v>27.0</v>
      </c>
      <c r="D429" s="9">
        <v>11745.0</v>
      </c>
      <c r="E429" s="1" t="s">
        <v>13</v>
      </c>
    </row>
    <row r="430">
      <c r="A430" s="1">
        <v>545.0</v>
      </c>
      <c r="B430" s="7">
        <v>1742.0</v>
      </c>
      <c r="C430" s="4">
        <v>42.0</v>
      </c>
      <c r="D430" s="9">
        <v>73164.0</v>
      </c>
      <c r="E430" s="1" t="s">
        <v>13</v>
      </c>
    </row>
    <row r="431">
      <c r="A431" s="1">
        <v>547.0</v>
      </c>
      <c r="B431" s="7">
        <v>50.0</v>
      </c>
      <c r="C431" s="4">
        <v>120.65</v>
      </c>
      <c r="D431" s="9">
        <v>6032.5</v>
      </c>
      <c r="E431" s="1" t="s">
        <v>41</v>
      </c>
    </row>
    <row r="432">
      <c r="A432" s="1">
        <v>550.0</v>
      </c>
      <c r="B432" s="7">
        <v>0.0</v>
      </c>
      <c r="C432" s="4">
        <v>89.0</v>
      </c>
      <c r="D432" s="9">
        <v>0.0</v>
      </c>
      <c r="E432" s="1" t="s">
        <v>41</v>
      </c>
    </row>
    <row r="433">
      <c r="A433" s="1">
        <v>551.0</v>
      </c>
      <c r="B433" s="7">
        <v>0.0</v>
      </c>
      <c r="C433" s="4">
        <v>80.65</v>
      </c>
      <c r="D433" s="9">
        <v>0.0</v>
      </c>
      <c r="E433" s="1" t="s">
        <v>41</v>
      </c>
    </row>
    <row r="434">
      <c r="A434" s="1">
        <v>553.0</v>
      </c>
      <c r="B434" s="7">
        <v>0.0</v>
      </c>
      <c r="C434" s="4">
        <v>55.65</v>
      </c>
      <c r="D434" s="9">
        <v>0.0</v>
      </c>
      <c r="E434" s="1" t="s">
        <v>41</v>
      </c>
    </row>
    <row r="435">
      <c r="A435" s="1">
        <v>569.0</v>
      </c>
      <c r="B435" s="7">
        <v>120.0</v>
      </c>
      <c r="C435" s="4">
        <v>23.5</v>
      </c>
      <c r="D435" s="9">
        <v>2820.0</v>
      </c>
      <c r="E435" s="1" t="s">
        <v>13</v>
      </c>
    </row>
    <row r="436">
      <c r="A436" s="1">
        <v>14001.0</v>
      </c>
      <c r="B436" s="7">
        <v>90.0</v>
      </c>
      <c r="C436" s="4">
        <v>59.25</v>
      </c>
      <c r="D436" s="9">
        <v>5332.5</v>
      </c>
      <c r="E436" s="1" t="s">
        <v>41</v>
      </c>
    </row>
    <row r="437">
      <c r="A437" s="1">
        <v>14009.0</v>
      </c>
      <c r="B437" s="7">
        <v>2774.0</v>
      </c>
      <c r="C437" s="4">
        <v>79.95</v>
      </c>
      <c r="D437" s="9">
        <v>221781.30000000002</v>
      </c>
      <c r="E437" s="1" t="s">
        <v>41</v>
      </c>
    </row>
    <row r="438">
      <c r="A438" s="1">
        <v>14030.0</v>
      </c>
      <c r="B438" s="7">
        <v>39.0</v>
      </c>
      <c r="C438" s="4">
        <v>89.05</v>
      </c>
      <c r="D438" s="9">
        <v>3472.95</v>
      </c>
      <c r="E438" s="1" t="s">
        <v>41</v>
      </c>
    </row>
    <row r="439">
      <c r="A439" s="1">
        <v>14033.0</v>
      </c>
      <c r="B439" s="7">
        <v>189.0</v>
      </c>
      <c r="C439" s="4">
        <v>88.25</v>
      </c>
      <c r="D439" s="9">
        <v>16679.25</v>
      </c>
      <c r="E439" s="1" t="s">
        <v>41</v>
      </c>
    </row>
    <row r="440">
      <c r="A440" s="1" t="s">
        <v>59</v>
      </c>
      <c r="B440" s="7">
        <v>171765.0</v>
      </c>
      <c r="C440" s="25"/>
      <c r="D440" s="7">
        <v>4344154.08</v>
      </c>
    </row>
    <row r="441">
      <c r="A441" s="1"/>
      <c r="B441" s="7"/>
      <c r="C441" s="25"/>
      <c r="D441" s="9"/>
    </row>
    <row r="442">
      <c r="A442" s="1"/>
      <c r="B442" s="7"/>
      <c r="C442" s="25"/>
      <c r="D442" s="9"/>
    </row>
    <row r="443">
      <c r="A443" s="1" t="s">
        <v>1</v>
      </c>
      <c r="B443" s="3" t="s">
        <v>4</v>
      </c>
      <c r="C443" s="4" t="s">
        <v>7</v>
      </c>
      <c r="D443" s="6" t="s">
        <v>8</v>
      </c>
      <c r="E443" s="1" t="s">
        <v>9</v>
      </c>
      <c r="F443" s="26">
        <v>45357.0</v>
      </c>
    </row>
    <row r="444">
      <c r="A444" s="1" t="s">
        <v>11</v>
      </c>
      <c r="B444" s="7">
        <v>8936.0</v>
      </c>
      <c r="C444" s="4">
        <v>7.76</v>
      </c>
      <c r="D444" s="9">
        <v>69343.36</v>
      </c>
      <c r="E444" s="1" t="s">
        <v>13</v>
      </c>
    </row>
    <row r="445">
      <c r="A445" s="1" t="s">
        <v>14</v>
      </c>
      <c r="B445" s="7">
        <v>9049.0</v>
      </c>
      <c r="C445" s="4">
        <v>13.16</v>
      </c>
      <c r="D445" s="9">
        <v>119084.84</v>
      </c>
      <c r="E445" s="1" t="s">
        <v>13</v>
      </c>
    </row>
    <row r="446">
      <c r="A446" s="1" t="s">
        <v>26</v>
      </c>
      <c r="B446" s="3">
        <v>13039.0</v>
      </c>
      <c r="C446" s="4">
        <v>18.2</v>
      </c>
      <c r="D446" s="9">
        <v>237309.8</v>
      </c>
      <c r="E446" s="1" t="s">
        <v>13</v>
      </c>
    </row>
    <row r="447">
      <c r="A447" s="1">
        <v>362.0</v>
      </c>
      <c r="B447" s="7">
        <v>15448.0</v>
      </c>
      <c r="C447" s="4">
        <v>25.0</v>
      </c>
      <c r="D447" s="9">
        <v>386200.0</v>
      </c>
      <c r="E447" s="1" t="s">
        <v>13</v>
      </c>
    </row>
    <row r="448">
      <c r="A448" s="1">
        <v>367.0</v>
      </c>
      <c r="B448" s="7">
        <v>12901.0</v>
      </c>
      <c r="C448" s="4">
        <v>19.0</v>
      </c>
      <c r="D448" s="9">
        <v>245119.0</v>
      </c>
      <c r="E448" s="1" t="s">
        <v>13</v>
      </c>
    </row>
    <row r="449">
      <c r="A449" s="1">
        <v>380.0</v>
      </c>
      <c r="B449" s="7">
        <v>3295.0</v>
      </c>
      <c r="C449" s="4">
        <v>105.0</v>
      </c>
      <c r="D449" s="9">
        <v>345975.0</v>
      </c>
      <c r="E449" s="1" t="s">
        <v>41</v>
      </c>
    </row>
    <row r="450">
      <c r="A450" s="1">
        <v>388.0</v>
      </c>
      <c r="B450" s="7">
        <v>3930.0</v>
      </c>
      <c r="C450" s="4">
        <v>13.76</v>
      </c>
      <c r="D450" s="9">
        <v>54076.799999999996</v>
      </c>
      <c r="E450" s="1" t="s">
        <v>13</v>
      </c>
    </row>
    <row r="451">
      <c r="A451" s="1">
        <v>394.0</v>
      </c>
      <c r="B451" s="7">
        <v>1363.0</v>
      </c>
      <c r="C451" s="4">
        <v>21.91</v>
      </c>
      <c r="D451" s="9">
        <v>29863.33</v>
      </c>
      <c r="E451" s="1" t="s">
        <v>13</v>
      </c>
    </row>
    <row r="452">
      <c r="A452" s="1">
        <v>395.0</v>
      </c>
      <c r="B452" s="7">
        <v>473.0</v>
      </c>
      <c r="C452" s="4">
        <v>20.41</v>
      </c>
      <c r="D452" s="9">
        <v>9653.93</v>
      </c>
      <c r="E452" s="1" t="s">
        <v>13</v>
      </c>
    </row>
    <row r="453">
      <c r="A453" s="1">
        <v>398.0</v>
      </c>
      <c r="B453" s="7">
        <v>8444.0</v>
      </c>
      <c r="C453" s="4">
        <v>18.31</v>
      </c>
      <c r="D453" s="9">
        <v>154609.63999999998</v>
      </c>
      <c r="E453" s="1" t="s">
        <v>13</v>
      </c>
    </row>
    <row r="454">
      <c r="A454" s="1">
        <v>412.0</v>
      </c>
      <c r="B454" s="7">
        <v>1709.0</v>
      </c>
      <c r="C454" s="4">
        <v>50.25</v>
      </c>
      <c r="D454" s="9">
        <v>85877.25</v>
      </c>
      <c r="E454" s="1" t="s">
        <v>41</v>
      </c>
    </row>
    <row r="455">
      <c r="A455" s="1">
        <v>421.0</v>
      </c>
      <c r="B455" s="7">
        <v>400.0</v>
      </c>
      <c r="C455" s="4">
        <v>25.25</v>
      </c>
      <c r="D455" s="9">
        <v>10100.0</v>
      </c>
      <c r="E455" s="1" t="s">
        <v>13</v>
      </c>
    </row>
    <row r="456">
      <c r="A456" s="1">
        <v>427.0</v>
      </c>
      <c r="B456" s="7">
        <v>58.0</v>
      </c>
      <c r="C456" s="4">
        <v>61.25</v>
      </c>
      <c r="D456" s="9">
        <v>3552.5</v>
      </c>
      <c r="E456" s="1" t="s">
        <v>41</v>
      </c>
    </row>
    <row r="457">
      <c r="A457" s="1">
        <v>430.0</v>
      </c>
      <c r="B457" s="7">
        <v>790.0</v>
      </c>
      <c r="C457" s="4">
        <v>27.7</v>
      </c>
      <c r="D457" s="9">
        <v>21883.0</v>
      </c>
      <c r="E457" s="1" t="s">
        <v>13</v>
      </c>
    </row>
    <row r="458">
      <c r="A458" s="1">
        <v>437.0</v>
      </c>
      <c r="B458" s="7">
        <v>6828.0</v>
      </c>
      <c r="C458" s="4">
        <v>96.25</v>
      </c>
      <c r="D458" s="9">
        <v>657195.0</v>
      </c>
      <c r="E458" s="1" t="s">
        <v>41</v>
      </c>
    </row>
    <row r="459">
      <c r="A459" s="1">
        <v>439.0</v>
      </c>
      <c r="B459" s="7">
        <v>10503.0</v>
      </c>
      <c r="C459" s="4">
        <v>26.41</v>
      </c>
      <c r="D459" s="9">
        <v>277384.23</v>
      </c>
      <c r="E459" s="1" t="s">
        <v>13</v>
      </c>
    </row>
    <row r="460">
      <c r="A460" s="1">
        <v>448.0</v>
      </c>
      <c r="B460" s="7">
        <v>8281.0</v>
      </c>
      <c r="C460" s="4">
        <v>39.0</v>
      </c>
      <c r="D460" s="9">
        <v>322959.0</v>
      </c>
      <c r="E460" s="1" t="s">
        <v>13</v>
      </c>
    </row>
    <row r="461">
      <c r="A461" s="1">
        <v>450.0</v>
      </c>
      <c r="B461" s="7">
        <v>7277.0</v>
      </c>
      <c r="C461" s="4">
        <v>19.61</v>
      </c>
      <c r="D461" s="9">
        <v>142701.97</v>
      </c>
      <c r="E461" s="1" t="s">
        <v>13</v>
      </c>
    </row>
    <row r="462">
      <c r="A462" s="1">
        <v>452.0</v>
      </c>
      <c r="B462" s="7">
        <v>1137.0</v>
      </c>
      <c r="C462" s="4">
        <v>26.11</v>
      </c>
      <c r="D462" s="9">
        <v>29687.07</v>
      </c>
      <c r="E462" s="1" t="s">
        <v>13</v>
      </c>
    </row>
    <row r="463">
      <c r="A463" s="1">
        <v>453.0</v>
      </c>
      <c r="B463" s="7">
        <v>380.0</v>
      </c>
      <c r="C463" s="4">
        <v>35.6</v>
      </c>
      <c r="D463" s="9">
        <v>13528.0</v>
      </c>
      <c r="E463" s="1" t="s">
        <v>13</v>
      </c>
    </row>
    <row r="464">
      <c r="A464" s="1">
        <v>456.0</v>
      </c>
      <c r="B464" s="7">
        <v>5214.0</v>
      </c>
      <c r="C464" s="4">
        <v>19.25</v>
      </c>
      <c r="D464" s="9">
        <v>100369.5</v>
      </c>
      <c r="E464" s="1" t="s">
        <v>55</v>
      </c>
    </row>
    <row r="465">
      <c r="A465" s="1">
        <v>457.0</v>
      </c>
      <c r="B465" s="7">
        <v>98.0</v>
      </c>
      <c r="C465" s="4">
        <v>10.0</v>
      </c>
      <c r="D465" s="9">
        <v>980.0</v>
      </c>
      <c r="E465" s="1" t="s">
        <v>55</v>
      </c>
    </row>
    <row r="466">
      <c r="A466" s="1">
        <v>461.0</v>
      </c>
      <c r="B466" s="7">
        <v>360.0</v>
      </c>
      <c r="C466" s="4">
        <v>81.11</v>
      </c>
      <c r="D466" s="9">
        <v>29199.6</v>
      </c>
      <c r="E466" s="1" t="s">
        <v>41</v>
      </c>
    </row>
    <row r="467">
      <c r="A467" s="1">
        <v>462.0</v>
      </c>
      <c r="B467" s="7">
        <v>14753.0</v>
      </c>
      <c r="C467" s="4">
        <v>11.15</v>
      </c>
      <c r="D467" s="9">
        <v>164495.95</v>
      </c>
      <c r="E467" s="1" t="s">
        <v>55</v>
      </c>
    </row>
    <row r="468">
      <c r="A468" s="1">
        <v>463.0</v>
      </c>
      <c r="B468" s="7">
        <v>2275.0</v>
      </c>
      <c r="C468" s="4">
        <v>15.41</v>
      </c>
      <c r="D468" s="9">
        <v>35057.75</v>
      </c>
      <c r="E468" s="1" t="s">
        <v>13</v>
      </c>
    </row>
    <row r="469">
      <c r="A469" s="1">
        <v>473.0</v>
      </c>
      <c r="B469" s="7">
        <v>388.0</v>
      </c>
      <c r="C469" s="4">
        <v>35.81</v>
      </c>
      <c r="D469" s="9">
        <v>13894.28</v>
      </c>
      <c r="E469" s="1" t="s">
        <v>13</v>
      </c>
    </row>
    <row r="470">
      <c r="A470" s="1">
        <v>474.0</v>
      </c>
      <c r="B470" s="7">
        <v>1622.0</v>
      </c>
      <c r="C470" s="4">
        <v>33.5</v>
      </c>
      <c r="D470" s="9">
        <v>54337.0</v>
      </c>
      <c r="E470" s="1" t="s">
        <v>13</v>
      </c>
    </row>
    <row r="471">
      <c r="A471" s="1">
        <v>482.0</v>
      </c>
      <c r="B471" s="3">
        <v>0.0</v>
      </c>
      <c r="C471" s="4">
        <v>48.15</v>
      </c>
      <c r="D471" s="9">
        <v>0.0</v>
      </c>
      <c r="E471" s="1" t="s">
        <v>41</v>
      </c>
    </row>
    <row r="472">
      <c r="A472" s="1">
        <v>487.0</v>
      </c>
      <c r="B472" s="7">
        <v>1469.0</v>
      </c>
      <c r="C472" s="4">
        <v>95.0</v>
      </c>
      <c r="D472" s="9">
        <v>139555.0</v>
      </c>
      <c r="E472" s="1" t="s">
        <v>41</v>
      </c>
    </row>
    <row r="473">
      <c r="A473" s="1">
        <v>489.0</v>
      </c>
      <c r="B473" s="7">
        <v>20.0</v>
      </c>
      <c r="C473" s="4">
        <v>152.5</v>
      </c>
      <c r="D473" s="9">
        <v>3050.0</v>
      </c>
      <c r="E473" s="1" t="s">
        <v>41</v>
      </c>
    </row>
    <row r="474">
      <c r="A474" s="1">
        <v>490.0</v>
      </c>
      <c r="B474" s="7">
        <v>225.0</v>
      </c>
      <c r="C474" s="4">
        <v>172.85</v>
      </c>
      <c r="D474" s="9">
        <v>38891.25</v>
      </c>
      <c r="E474" s="1" t="s">
        <v>41</v>
      </c>
    </row>
    <row r="475">
      <c r="A475" s="1">
        <v>491.0</v>
      </c>
      <c r="B475" s="7">
        <v>18849.0</v>
      </c>
      <c r="C475" s="4">
        <v>21.25</v>
      </c>
      <c r="D475" s="9">
        <v>400541.25</v>
      </c>
      <c r="E475" s="1" t="s">
        <v>55</v>
      </c>
    </row>
    <row r="476">
      <c r="A476" s="1">
        <v>492.0</v>
      </c>
      <c r="B476" s="7">
        <v>2693.0</v>
      </c>
      <c r="C476" s="4">
        <v>18.25</v>
      </c>
      <c r="D476" s="9">
        <v>49147.25</v>
      </c>
      <c r="E476" s="1" t="s">
        <v>55</v>
      </c>
    </row>
    <row r="477">
      <c r="A477" s="1">
        <v>493.0</v>
      </c>
      <c r="B477" s="7">
        <v>231.0</v>
      </c>
      <c r="C477" s="4">
        <v>11.25</v>
      </c>
      <c r="D477" s="9">
        <v>2598.75</v>
      </c>
      <c r="E477" s="1" t="s">
        <v>55</v>
      </c>
    </row>
    <row r="478">
      <c r="A478" s="1">
        <v>494.0</v>
      </c>
      <c r="B478" s="7">
        <v>460.0</v>
      </c>
      <c r="C478" s="4">
        <v>16.75</v>
      </c>
      <c r="D478" s="9">
        <v>7705.0</v>
      </c>
      <c r="E478" s="1" t="s">
        <v>55</v>
      </c>
    </row>
    <row r="479">
      <c r="A479" s="1">
        <v>495.0</v>
      </c>
      <c r="B479" s="7">
        <v>530.0</v>
      </c>
      <c r="C479" s="4">
        <v>17.75</v>
      </c>
      <c r="D479" s="9">
        <v>9407.5</v>
      </c>
      <c r="E479" s="1" t="s">
        <v>55</v>
      </c>
    </row>
    <row r="480">
      <c r="A480" s="1">
        <v>498.0</v>
      </c>
      <c r="B480" s="7">
        <v>3772.0</v>
      </c>
      <c r="C480" s="4">
        <v>14.25</v>
      </c>
      <c r="D480" s="9">
        <v>53751.0</v>
      </c>
      <c r="E480" s="1" t="s">
        <v>55</v>
      </c>
    </row>
    <row r="481">
      <c r="A481" s="1">
        <v>499.0</v>
      </c>
      <c r="B481" s="7">
        <v>8641.0</v>
      </c>
      <c r="C481" s="4">
        <v>32.75</v>
      </c>
      <c r="D481" s="9">
        <v>282992.75</v>
      </c>
      <c r="E481" s="1" t="s">
        <v>13</v>
      </c>
    </row>
    <row r="482">
      <c r="A482" s="1">
        <v>504.0</v>
      </c>
      <c r="B482" s="7">
        <v>823.0</v>
      </c>
      <c r="C482" s="4">
        <v>12.75</v>
      </c>
      <c r="D482" s="9">
        <v>10493.25</v>
      </c>
      <c r="E482" s="1" t="s">
        <v>13</v>
      </c>
    </row>
    <row r="483">
      <c r="A483" s="1">
        <v>508.0</v>
      </c>
      <c r="B483" s="7">
        <v>974.0</v>
      </c>
      <c r="C483" s="4">
        <v>16.11</v>
      </c>
      <c r="D483" s="9">
        <v>15691.14</v>
      </c>
      <c r="E483" s="1" t="s">
        <v>13</v>
      </c>
    </row>
    <row r="484">
      <c r="A484" s="1">
        <v>510.0</v>
      </c>
      <c r="B484" s="7">
        <v>400.0</v>
      </c>
      <c r="C484" s="4">
        <v>65.0</v>
      </c>
      <c r="D484" s="9">
        <v>26000.0</v>
      </c>
      <c r="E484" s="1" t="s">
        <v>41</v>
      </c>
    </row>
    <row r="485">
      <c r="A485" s="1">
        <v>512.0</v>
      </c>
      <c r="B485" s="7">
        <v>1555.0</v>
      </c>
      <c r="C485" s="4">
        <v>16.25</v>
      </c>
      <c r="D485" s="9">
        <v>25268.75</v>
      </c>
      <c r="E485" s="1" t="s">
        <v>55</v>
      </c>
    </row>
    <row r="486">
      <c r="A486" s="1">
        <v>514.0</v>
      </c>
      <c r="B486" s="7">
        <v>16360.0</v>
      </c>
      <c r="C486" s="4">
        <v>15.75</v>
      </c>
      <c r="D486" s="9">
        <v>257670.0</v>
      </c>
      <c r="E486" s="1" t="s">
        <v>13</v>
      </c>
    </row>
    <row r="487">
      <c r="A487" s="1">
        <v>516.0</v>
      </c>
      <c r="B487" s="7">
        <v>230.0</v>
      </c>
      <c r="C487" s="4">
        <v>20.0</v>
      </c>
      <c r="D487" s="9">
        <v>4600.0</v>
      </c>
      <c r="E487" s="1" t="s">
        <v>13</v>
      </c>
    </row>
    <row r="488">
      <c r="A488" s="1">
        <v>517.0</v>
      </c>
      <c r="B488" s="7">
        <v>2115.0</v>
      </c>
      <c r="C488" s="4">
        <v>19.25</v>
      </c>
      <c r="D488" s="9">
        <v>40713.75</v>
      </c>
      <c r="E488" s="1" t="s">
        <v>13</v>
      </c>
    </row>
    <row r="489">
      <c r="A489" s="1">
        <v>522.0</v>
      </c>
      <c r="B489" s="7">
        <v>143.0</v>
      </c>
      <c r="C489" s="4">
        <v>23.75</v>
      </c>
      <c r="D489" s="9">
        <v>3396.25</v>
      </c>
      <c r="E489" s="1" t="s">
        <v>13</v>
      </c>
    </row>
    <row r="490">
      <c r="A490" s="1">
        <v>526.0</v>
      </c>
      <c r="B490" s="7">
        <v>1073.0</v>
      </c>
      <c r="C490" s="4">
        <v>21.36</v>
      </c>
      <c r="D490" s="9">
        <v>22919.28</v>
      </c>
      <c r="E490" s="1" t="s">
        <v>13</v>
      </c>
    </row>
    <row r="491">
      <c r="A491" s="1">
        <v>532.0</v>
      </c>
      <c r="B491" s="7">
        <v>270.0</v>
      </c>
      <c r="C491" s="4">
        <v>20.11</v>
      </c>
      <c r="D491" s="9">
        <v>5429.7</v>
      </c>
      <c r="E491" s="1" t="s">
        <v>13</v>
      </c>
    </row>
    <row r="492">
      <c r="A492" s="1">
        <v>533.0</v>
      </c>
      <c r="B492" s="7">
        <v>30.0</v>
      </c>
      <c r="C492" s="4">
        <v>65.25</v>
      </c>
      <c r="D492" s="9">
        <v>1957.5</v>
      </c>
      <c r="E492" s="1" t="s">
        <v>41</v>
      </c>
    </row>
    <row r="493">
      <c r="A493" s="1">
        <v>537.0</v>
      </c>
      <c r="B493" s="7">
        <v>454.0</v>
      </c>
      <c r="C493" s="4">
        <v>30.0</v>
      </c>
      <c r="D493" s="9">
        <v>13620.0</v>
      </c>
      <c r="E493" s="1" t="s">
        <v>13</v>
      </c>
    </row>
    <row r="494">
      <c r="A494" s="1">
        <v>538.0</v>
      </c>
      <c r="B494" s="7">
        <v>580.0</v>
      </c>
      <c r="C494" s="4">
        <v>17.01</v>
      </c>
      <c r="D494" s="9">
        <v>9865.800000000001</v>
      </c>
      <c r="E494" s="1" t="s">
        <v>13</v>
      </c>
    </row>
    <row r="495">
      <c r="A495" s="1">
        <v>539.0</v>
      </c>
      <c r="B495" s="7">
        <v>2130.0</v>
      </c>
      <c r="C495" s="4">
        <v>14.71</v>
      </c>
      <c r="D495" s="9">
        <v>31332.300000000003</v>
      </c>
      <c r="E495" s="1" t="s">
        <v>13</v>
      </c>
    </row>
    <row r="496">
      <c r="A496" s="1">
        <v>540.0</v>
      </c>
      <c r="B496" s="7">
        <v>1852.0</v>
      </c>
      <c r="C496" s="4">
        <v>81.65</v>
      </c>
      <c r="D496" s="9">
        <v>151215.80000000002</v>
      </c>
      <c r="E496" s="1" t="s">
        <v>41</v>
      </c>
    </row>
    <row r="497">
      <c r="A497" s="1">
        <v>542.0</v>
      </c>
      <c r="B497" s="7">
        <v>125.0</v>
      </c>
      <c r="C497" s="4">
        <v>27.61</v>
      </c>
      <c r="D497" s="9">
        <v>3451.25</v>
      </c>
      <c r="E497" s="1" t="s">
        <v>13</v>
      </c>
    </row>
    <row r="498">
      <c r="A498" s="1">
        <v>543.0</v>
      </c>
      <c r="B498" s="7">
        <v>777.0</v>
      </c>
      <c r="C498" s="4">
        <v>27.0</v>
      </c>
      <c r="D498" s="9">
        <v>20979.0</v>
      </c>
      <c r="E498" s="1" t="s">
        <v>13</v>
      </c>
    </row>
    <row r="499">
      <c r="A499" s="1">
        <v>545.0</v>
      </c>
      <c r="B499" s="7">
        <v>1700.0</v>
      </c>
      <c r="C499" s="4">
        <v>42.0</v>
      </c>
      <c r="D499" s="9">
        <v>71400.0</v>
      </c>
      <c r="E499" s="1" t="s">
        <v>13</v>
      </c>
    </row>
    <row r="500">
      <c r="A500" s="1">
        <v>547.0</v>
      </c>
      <c r="B500" s="7">
        <v>275.0</v>
      </c>
      <c r="C500" s="4">
        <v>120.65</v>
      </c>
      <c r="D500" s="9">
        <v>33178.75</v>
      </c>
      <c r="E500" s="1" t="s">
        <v>41</v>
      </c>
    </row>
    <row r="501">
      <c r="A501" s="1">
        <v>569.0</v>
      </c>
      <c r="B501" s="7">
        <v>220.0</v>
      </c>
      <c r="C501" s="4">
        <v>23.5</v>
      </c>
      <c r="D501" s="9">
        <v>5170.0</v>
      </c>
      <c r="E501" s="1" t="s">
        <v>13</v>
      </c>
    </row>
    <row r="502">
      <c r="A502" s="1">
        <v>14001.0</v>
      </c>
      <c r="B502" s="7">
        <v>30.0</v>
      </c>
      <c r="C502" s="4">
        <v>59.25</v>
      </c>
      <c r="D502" s="9">
        <v>1777.5</v>
      </c>
      <c r="E502" s="1" t="s">
        <v>41</v>
      </c>
    </row>
    <row r="503">
      <c r="A503" s="1">
        <v>14009.0</v>
      </c>
      <c r="B503" s="7">
        <v>4181.0</v>
      </c>
      <c r="C503" s="4">
        <v>79.95</v>
      </c>
      <c r="D503" s="9">
        <v>334270.95</v>
      </c>
      <c r="E503" s="1" t="s">
        <v>41</v>
      </c>
    </row>
    <row r="504">
      <c r="A504" s="1">
        <v>14030.0</v>
      </c>
      <c r="B504" s="7">
        <v>39.0</v>
      </c>
      <c r="C504" s="4">
        <v>89.05</v>
      </c>
      <c r="D504" s="9">
        <v>3472.95</v>
      </c>
      <c r="E504" s="1" t="s">
        <v>41</v>
      </c>
    </row>
    <row r="505">
      <c r="A505" s="1">
        <v>14033.0</v>
      </c>
      <c r="B505" s="7">
        <v>179.0</v>
      </c>
      <c r="C505" s="4">
        <v>88.25</v>
      </c>
      <c r="D505" s="9">
        <v>15796.75</v>
      </c>
      <c r="E505" s="1" t="s">
        <v>41</v>
      </c>
    </row>
    <row r="506">
      <c r="A506" s="1" t="s">
        <v>59</v>
      </c>
      <c r="B506" s="7">
        <v>212356.0</v>
      </c>
      <c r="C506" s="25"/>
      <c r="D506" s="7">
        <v>5711748.220000001</v>
      </c>
    </row>
    <row r="507">
      <c r="B507" s="7"/>
      <c r="C507" s="25"/>
      <c r="D507" s="9"/>
    </row>
    <row r="508">
      <c r="B508" s="7"/>
      <c r="C508" s="25"/>
      <c r="D508" s="9"/>
    </row>
    <row r="509">
      <c r="A509" s="15" t="s">
        <v>1</v>
      </c>
      <c r="B509" s="7" t="s">
        <v>4</v>
      </c>
      <c r="C509" s="25" t="s">
        <v>7</v>
      </c>
      <c r="D509" s="9" t="s">
        <v>8</v>
      </c>
      <c r="E509" s="15" t="s">
        <v>9</v>
      </c>
      <c r="F509" s="1" t="s">
        <v>117</v>
      </c>
    </row>
    <row r="510">
      <c r="A510" s="15" t="s">
        <v>11</v>
      </c>
      <c r="B510" s="7">
        <v>9005.0</v>
      </c>
      <c r="C510" s="25">
        <v>7.76</v>
      </c>
      <c r="D510" s="9">
        <v>69878.8</v>
      </c>
      <c r="E510" s="15" t="s">
        <v>13</v>
      </c>
    </row>
    <row r="511">
      <c r="A511" s="15" t="s">
        <v>14</v>
      </c>
      <c r="B511" s="7">
        <v>9100.0</v>
      </c>
      <c r="C511" s="25">
        <v>13.16</v>
      </c>
      <c r="D511" s="9">
        <v>119756.0</v>
      </c>
      <c r="E511" s="15" t="s">
        <v>13</v>
      </c>
    </row>
    <row r="512">
      <c r="A512" s="15" t="s">
        <v>26</v>
      </c>
      <c r="B512" s="7">
        <v>13249.0</v>
      </c>
      <c r="C512" s="25">
        <v>18.2</v>
      </c>
      <c r="D512" s="9">
        <v>241131.8</v>
      </c>
      <c r="E512" s="15" t="s">
        <v>13</v>
      </c>
    </row>
    <row r="513">
      <c r="A513" s="15">
        <v>362.0</v>
      </c>
      <c r="B513" s="7">
        <v>13801.0</v>
      </c>
      <c r="C513" s="25">
        <v>25.0</v>
      </c>
      <c r="D513" s="9">
        <v>345025.0</v>
      </c>
      <c r="E513" s="15" t="s">
        <v>13</v>
      </c>
    </row>
    <row r="514">
      <c r="A514" s="15">
        <v>367.0</v>
      </c>
      <c r="B514" s="7">
        <v>12361.0</v>
      </c>
      <c r="C514" s="25">
        <v>19.0</v>
      </c>
      <c r="D514" s="9">
        <v>234859.0</v>
      </c>
      <c r="E514" s="15" t="s">
        <v>13</v>
      </c>
    </row>
    <row r="515">
      <c r="A515" s="15">
        <v>380.0</v>
      </c>
      <c r="B515" s="7">
        <v>4375.0</v>
      </c>
      <c r="C515" s="25">
        <v>105.0</v>
      </c>
      <c r="D515" s="9">
        <v>459375.0</v>
      </c>
      <c r="E515" s="15" t="s">
        <v>41</v>
      </c>
    </row>
    <row r="516">
      <c r="A516" s="15">
        <v>388.0</v>
      </c>
      <c r="B516" s="7">
        <v>5338.0</v>
      </c>
      <c r="C516" s="25">
        <v>13.76</v>
      </c>
      <c r="D516" s="9">
        <v>73450.88</v>
      </c>
      <c r="E516" s="15" t="s">
        <v>13</v>
      </c>
    </row>
    <row r="517">
      <c r="A517" s="15">
        <v>394.0</v>
      </c>
      <c r="B517" s="7">
        <v>1363.0</v>
      </c>
      <c r="C517" s="25">
        <v>21.91</v>
      </c>
      <c r="D517" s="9">
        <v>29863.33</v>
      </c>
      <c r="E517" s="15" t="s">
        <v>13</v>
      </c>
    </row>
    <row r="518">
      <c r="A518" s="15">
        <v>395.0</v>
      </c>
      <c r="B518" s="7">
        <v>473.0</v>
      </c>
      <c r="C518" s="25">
        <v>20.41</v>
      </c>
      <c r="D518" s="9">
        <v>9653.93</v>
      </c>
      <c r="E518" s="15" t="s">
        <v>13</v>
      </c>
    </row>
    <row r="519">
      <c r="A519" s="15">
        <v>398.0</v>
      </c>
      <c r="B519" s="7">
        <v>6944.0</v>
      </c>
      <c r="C519" s="25">
        <v>18.31</v>
      </c>
      <c r="D519" s="9">
        <v>127144.63999999998</v>
      </c>
      <c r="E519" s="15" t="s">
        <v>13</v>
      </c>
    </row>
    <row r="520">
      <c r="A520" s="15">
        <v>412.0</v>
      </c>
      <c r="B520" s="7">
        <v>1357.0</v>
      </c>
      <c r="C520" s="25">
        <v>50.25</v>
      </c>
      <c r="D520" s="9">
        <v>68189.25</v>
      </c>
      <c r="E520" s="15" t="s">
        <v>41</v>
      </c>
    </row>
    <row r="521">
      <c r="A521" s="15">
        <v>421.0</v>
      </c>
      <c r="B521" s="7">
        <v>390.0</v>
      </c>
      <c r="C521" s="25">
        <v>25.25</v>
      </c>
      <c r="D521" s="9">
        <v>9847.5</v>
      </c>
      <c r="E521" s="15" t="s">
        <v>13</v>
      </c>
    </row>
    <row r="522">
      <c r="A522" s="15">
        <v>427.0</v>
      </c>
      <c r="B522" s="7">
        <v>610.0</v>
      </c>
      <c r="C522" s="25">
        <v>61.25</v>
      </c>
      <c r="D522" s="9">
        <v>37362.5</v>
      </c>
      <c r="E522" s="15" t="s">
        <v>41</v>
      </c>
    </row>
    <row r="523">
      <c r="A523" s="15">
        <v>430.0</v>
      </c>
      <c r="B523" s="7">
        <v>790.0</v>
      </c>
      <c r="C523" s="25">
        <v>27.7</v>
      </c>
      <c r="D523" s="9">
        <v>21883.0</v>
      </c>
      <c r="E523" s="15" t="s">
        <v>13</v>
      </c>
    </row>
    <row r="524">
      <c r="A524" s="15">
        <v>437.0</v>
      </c>
      <c r="B524" s="7">
        <v>7443.0</v>
      </c>
      <c r="C524" s="25">
        <v>96.25</v>
      </c>
      <c r="D524" s="9">
        <v>716388.75</v>
      </c>
      <c r="E524" s="15" t="s">
        <v>41</v>
      </c>
    </row>
    <row r="525">
      <c r="A525" s="15">
        <v>439.0</v>
      </c>
      <c r="B525" s="7">
        <v>15918.0</v>
      </c>
      <c r="C525" s="25">
        <v>26.41</v>
      </c>
      <c r="D525" s="9">
        <v>420394.38</v>
      </c>
      <c r="E525" s="15" t="s">
        <v>13</v>
      </c>
    </row>
    <row r="526">
      <c r="A526" s="15">
        <v>448.0</v>
      </c>
      <c r="B526" s="7">
        <v>6641.0</v>
      </c>
      <c r="C526" s="25">
        <v>39.0</v>
      </c>
      <c r="D526" s="9">
        <v>258999.0</v>
      </c>
      <c r="E526" s="15" t="s">
        <v>13</v>
      </c>
    </row>
    <row r="527">
      <c r="A527" s="15">
        <v>450.0</v>
      </c>
      <c r="B527" s="7">
        <v>8762.0</v>
      </c>
      <c r="C527" s="25">
        <v>19.61</v>
      </c>
      <c r="D527" s="9">
        <v>171822.82</v>
      </c>
      <c r="E527" s="15" t="s">
        <v>13</v>
      </c>
    </row>
    <row r="528">
      <c r="A528" s="15">
        <v>452.0</v>
      </c>
      <c r="B528" s="7">
        <v>1054.0</v>
      </c>
      <c r="C528" s="25">
        <v>26.11</v>
      </c>
      <c r="D528" s="9">
        <v>27519.94</v>
      </c>
      <c r="E528" s="15" t="s">
        <v>13</v>
      </c>
    </row>
    <row r="529">
      <c r="A529" s="15">
        <v>453.0</v>
      </c>
      <c r="B529" s="7">
        <v>360.0</v>
      </c>
      <c r="C529" s="25">
        <v>35.6</v>
      </c>
      <c r="D529" s="9">
        <v>12816.0</v>
      </c>
      <c r="E529" s="15" t="s">
        <v>13</v>
      </c>
    </row>
    <row r="530">
      <c r="A530" s="15">
        <v>456.0</v>
      </c>
      <c r="B530" s="7">
        <v>5784.0</v>
      </c>
      <c r="C530" s="25">
        <v>19.25</v>
      </c>
      <c r="D530" s="9">
        <v>111342.0</v>
      </c>
      <c r="E530" s="15" t="s">
        <v>55</v>
      </c>
    </row>
    <row r="531">
      <c r="A531" s="15">
        <v>457.0</v>
      </c>
      <c r="B531" s="7">
        <v>98.0</v>
      </c>
      <c r="C531" s="25">
        <v>10.0</v>
      </c>
      <c r="D531" s="9">
        <v>980.0</v>
      </c>
      <c r="E531" s="15" t="s">
        <v>55</v>
      </c>
    </row>
    <row r="532">
      <c r="A532" s="15">
        <v>461.0</v>
      </c>
      <c r="B532" s="7">
        <v>285.0</v>
      </c>
      <c r="C532" s="25">
        <v>81.11</v>
      </c>
      <c r="D532" s="9">
        <v>23116.35</v>
      </c>
      <c r="E532" s="15" t="s">
        <v>41</v>
      </c>
    </row>
    <row r="533">
      <c r="A533" s="15">
        <v>462.0</v>
      </c>
      <c r="B533" s="7">
        <v>10339.0</v>
      </c>
      <c r="C533" s="25">
        <v>11.15</v>
      </c>
      <c r="D533" s="9">
        <v>115279.85</v>
      </c>
      <c r="E533" s="15" t="s">
        <v>55</v>
      </c>
    </row>
    <row r="534">
      <c r="A534" s="15">
        <v>463.0</v>
      </c>
      <c r="B534" s="7">
        <v>3041.0</v>
      </c>
      <c r="C534" s="25">
        <v>15.41</v>
      </c>
      <c r="D534" s="9">
        <v>46861.81</v>
      </c>
      <c r="E534" s="15" t="s">
        <v>13</v>
      </c>
    </row>
    <row r="535">
      <c r="A535" s="15">
        <v>473.0</v>
      </c>
      <c r="B535" s="7">
        <v>369.0</v>
      </c>
      <c r="C535" s="25">
        <v>35.81</v>
      </c>
      <c r="D535" s="9">
        <v>13213.890000000001</v>
      </c>
      <c r="E535" s="15" t="s">
        <v>13</v>
      </c>
    </row>
    <row r="536">
      <c r="A536" s="15">
        <v>474.0</v>
      </c>
      <c r="B536" s="7">
        <v>5317.0</v>
      </c>
      <c r="C536" s="25">
        <v>33.5</v>
      </c>
      <c r="D536" s="9">
        <v>178119.5</v>
      </c>
      <c r="E536" s="15" t="s">
        <v>13</v>
      </c>
    </row>
    <row r="537">
      <c r="A537" s="15">
        <v>482.0</v>
      </c>
      <c r="B537" s="7">
        <v>0.0</v>
      </c>
      <c r="C537" s="25">
        <v>48.15</v>
      </c>
      <c r="D537" s="9">
        <v>0.0</v>
      </c>
      <c r="E537" s="15" t="s">
        <v>41</v>
      </c>
    </row>
    <row r="538">
      <c r="A538" s="15">
        <v>487.0</v>
      </c>
      <c r="B538" s="7">
        <v>2019.0</v>
      </c>
      <c r="C538" s="25">
        <v>95.0</v>
      </c>
      <c r="D538" s="9">
        <v>191805.0</v>
      </c>
      <c r="E538" s="15" t="s">
        <v>41</v>
      </c>
    </row>
    <row r="539">
      <c r="A539" s="15">
        <v>489.0</v>
      </c>
      <c r="B539" s="7">
        <v>20.0</v>
      </c>
      <c r="C539" s="25">
        <v>152.5</v>
      </c>
      <c r="D539" s="9">
        <v>3050.0</v>
      </c>
      <c r="E539" s="15" t="s">
        <v>41</v>
      </c>
    </row>
    <row r="540">
      <c r="A540" s="15">
        <v>490.0</v>
      </c>
      <c r="B540" s="7">
        <v>100.0</v>
      </c>
      <c r="C540" s="25">
        <v>172.85</v>
      </c>
      <c r="D540" s="9">
        <v>17285.0</v>
      </c>
      <c r="E540" s="15" t="s">
        <v>41</v>
      </c>
    </row>
    <row r="541">
      <c r="A541" s="15">
        <v>491.0</v>
      </c>
      <c r="B541" s="7">
        <v>15768.0</v>
      </c>
      <c r="C541" s="25">
        <v>21.25</v>
      </c>
      <c r="D541" s="9">
        <v>335070.0</v>
      </c>
      <c r="E541" s="15" t="s">
        <v>55</v>
      </c>
    </row>
    <row r="542">
      <c r="A542" s="15">
        <v>492.0</v>
      </c>
      <c r="B542" s="7">
        <v>2638.0</v>
      </c>
      <c r="C542" s="25">
        <v>18.25</v>
      </c>
      <c r="D542" s="9">
        <v>48143.5</v>
      </c>
      <c r="E542" s="15" t="s">
        <v>55</v>
      </c>
    </row>
    <row r="543">
      <c r="A543" s="15">
        <v>493.0</v>
      </c>
      <c r="B543" s="7">
        <v>201.0</v>
      </c>
      <c r="C543" s="25">
        <v>11.25</v>
      </c>
      <c r="D543" s="9">
        <v>2261.25</v>
      </c>
      <c r="E543" s="15" t="s">
        <v>55</v>
      </c>
    </row>
    <row r="544">
      <c r="A544" s="15">
        <v>494.0</v>
      </c>
      <c r="B544" s="7">
        <v>460.0</v>
      </c>
      <c r="C544" s="25">
        <v>16.75</v>
      </c>
      <c r="D544" s="9">
        <v>7705.0</v>
      </c>
      <c r="E544" s="15" t="s">
        <v>55</v>
      </c>
    </row>
    <row r="545">
      <c r="A545" s="15">
        <v>495.0</v>
      </c>
      <c r="B545" s="7">
        <v>350.0</v>
      </c>
      <c r="C545" s="25">
        <v>17.75</v>
      </c>
      <c r="D545" s="9">
        <v>6212.5</v>
      </c>
      <c r="E545" s="15" t="s">
        <v>55</v>
      </c>
    </row>
    <row r="546">
      <c r="A546" s="15">
        <v>498.0</v>
      </c>
      <c r="B546" s="7">
        <v>2712.0</v>
      </c>
      <c r="C546" s="25">
        <v>14.25</v>
      </c>
      <c r="D546" s="9">
        <v>38646.0</v>
      </c>
      <c r="E546" s="15" t="s">
        <v>55</v>
      </c>
    </row>
    <row r="547">
      <c r="A547" s="15">
        <v>499.0</v>
      </c>
      <c r="B547" s="7">
        <v>14265.0</v>
      </c>
      <c r="C547" s="25">
        <v>32.75</v>
      </c>
      <c r="D547" s="9">
        <v>467178.75</v>
      </c>
      <c r="E547" s="15" t="s">
        <v>13</v>
      </c>
    </row>
    <row r="548">
      <c r="A548" s="15">
        <v>504.0</v>
      </c>
      <c r="B548" s="7">
        <v>803.0</v>
      </c>
      <c r="C548" s="25">
        <v>12.75</v>
      </c>
      <c r="D548" s="9">
        <v>10238.25</v>
      </c>
      <c r="E548" s="15" t="s">
        <v>13</v>
      </c>
    </row>
    <row r="549">
      <c r="A549" s="15">
        <v>508.0</v>
      </c>
      <c r="B549" s="7">
        <v>942.0</v>
      </c>
      <c r="C549" s="25">
        <v>16.11</v>
      </c>
      <c r="D549" s="9">
        <v>15175.619999999999</v>
      </c>
      <c r="E549" s="15" t="s">
        <v>13</v>
      </c>
    </row>
    <row r="550">
      <c r="A550" s="15">
        <v>510.0</v>
      </c>
      <c r="B550" s="7">
        <v>400.0</v>
      </c>
      <c r="C550" s="25">
        <v>65.0</v>
      </c>
      <c r="D550" s="9">
        <v>26000.0</v>
      </c>
      <c r="E550" s="15" t="s">
        <v>41</v>
      </c>
    </row>
    <row r="551">
      <c r="A551" s="15">
        <v>512.0</v>
      </c>
      <c r="B551" s="7">
        <v>2390.0</v>
      </c>
      <c r="C551" s="25">
        <v>16.25</v>
      </c>
      <c r="D551" s="9">
        <v>38837.5</v>
      </c>
      <c r="E551" s="15" t="s">
        <v>55</v>
      </c>
    </row>
    <row r="552">
      <c r="A552" s="15">
        <v>514.0</v>
      </c>
      <c r="B552" s="7">
        <v>13160.0</v>
      </c>
      <c r="C552" s="25">
        <v>15.75</v>
      </c>
      <c r="D552" s="9">
        <v>207270.0</v>
      </c>
      <c r="E552" s="15" t="s">
        <v>13</v>
      </c>
    </row>
    <row r="553">
      <c r="A553" s="15">
        <v>516.0</v>
      </c>
      <c r="B553" s="7">
        <v>186.0</v>
      </c>
      <c r="C553" s="25">
        <v>20.0</v>
      </c>
      <c r="D553" s="9">
        <v>3720.0</v>
      </c>
      <c r="E553" s="15" t="s">
        <v>13</v>
      </c>
    </row>
    <row r="554">
      <c r="A554" s="15">
        <v>517.0</v>
      </c>
      <c r="B554" s="7">
        <v>1875.0</v>
      </c>
      <c r="C554" s="25">
        <v>19.25</v>
      </c>
      <c r="D554" s="9">
        <v>36093.75</v>
      </c>
      <c r="E554" s="15" t="s">
        <v>13</v>
      </c>
    </row>
    <row r="555">
      <c r="A555" s="15">
        <v>522.0</v>
      </c>
      <c r="B555" s="7">
        <v>143.0</v>
      </c>
      <c r="C555" s="25">
        <v>23.75</v>
      </c>
      <c r="D555" s="9">
        <v>3396.25</v>
      </c>
      <c r="E555" s="15" t="s">
        <v>13</v>
      </c>
    </row>
    <row r="556">
      <c r="A556" s="15">
        <v>526.0</v>
      </c>
      <c r="B556" s="7">
        <v>1043.0</v>
      </c>
      <c r="C556" s="25">
        <v>21.36</v>
      </c>
      <c r="D556" s="9">
        <v>22278.48</v>
      </c>
      <c r="E556" s="15" t="s">
        <v>13</v>
      </c>
    </row>
    <row r="557">
      <c r="A557" s="15">
        <v>532.0</v>
      </c>
      <c r="B557" s="7">
        <v>270.0</v>
      </c>
      <c r="C557" s="25">
        <v>20.11</v>
      </c>
      <c r="D557" s="9">
        <v>5429.7</v>
      </c>
      <c r="E557" s="15" t="s">
        <v>13</v>
      </c>
    </row>
    <row r="558">
      <c r="A558" s="15">
        <v>533.0</v>
      </c>
      <c r="B558" s="7">
        <v>30.0</v>
      </c>
      <c r="C558" s="25">
        <v>65.25</v>
      </c>
      <c r="D558" s="9">
        <v>1957.5</v>
      </c>
      <c r="E558" s="15" t="s">
        <v>41</v>
      </c>
    </row>
    <row r="559">
      <c r="A559" s="15">
        <v>537.0</v>
      </c>
      <c r="B559" s="7">
        <v>434.0</v>
      </c>
      <c r="C559" s="25">
        <v>30.0</v>
      </c>
      <c r="D559" s="9">
        <v>13020.0</v>
      </c>
      <c r="E559" s="15" t="s">
        <v>13</v>
      </c>
    </row>
    <row r="560">
      <c r="A560" s="15">
        <v>538.0</v>
      </c>
      <c r="B560" s="7">
        <v>440.0</v>
      </c>
      <c r="C560" s="25">
        <v>17.01</v>
      </c>
      <c r="D560" s="9">
        <v>7484.400000000001</v>
      </c>
      <c r="E560" s="15" t="s">
        <v>13</v>
      </c>
    </row>
    <row r="561">
      <c r="A561" s="15">
        <v>539.0</v>
      </c>
      <c r="B561" s="7">
        <v>2219.0</v>
      </c>
      <c r="C561" s="25">
        <v>14.71</v>
      </c>
      <c r="D561" s="9">
        <v>32641.49</v>
      </c>
      <c r="E561" s="15" t="s">
        <v>13</v>
      </c>
    </row>
    <row r="562">
      <c r="A562" s="15">
        <v>540.0</v>
      </c>
      <c r="B562" s="7">
        <v>2307.0</v>
      </c>
      <c r="C562" s="25">
        <v>81.65</v>
      </c>
      <c r="D562" s="9">
        <v>188366.55000000002</v>
      </c>
      <c r="E562" s="15" t="s">
        <v>41</v>
      </c>
    </row>
    <row r="563">
      <c r="A563" s="15">
        <v>542.0</v>
      </c>
      <c r="B563" s="7">
        <v>125.0</v>
      </c>
      <c r="C563" s="25">
        <v>27.61</v>
      </c>
      <c r="D563" s="9">
        <v>3451.25</v>
      </c>
      <c r="E563" s="15" t="s">
        <v>13</v>
      </c>
    </row>
    <row r="564">
      <c r="A564" s="15">
        <v>543.0</v>
      </c>
      <c r="B564" s="7">
        <v>637.0</v>
      </c>
      <c r="C564" s="25">
        <v>27.0</v>
      </c>
      <c r="D564" s="9">
        <v>17199.0</v>
      </c>
      <c r="E564" s="15" t="s">
        <v>13</v>
      </c>
    </row>
    <row r="565">
      <c r="A565" s="15">
        <v>545.0</v>
      </c>
      <c r="B565" s="7">
        <v>1460.0</v>
      </c>
      <c r="C565" s="25">
        <v>42.0</v>
      </c>
      <c r="D565" s="9">
        <v>61320.0</v>
      </c>
      <c r="E565" s="15" t="s">
        <v>13</v>
      </c>
    </row>
    <row r="566">
      <c r="A566" s="15">
        <v>547.0</v>
      </c>
      <c r="B566" s="7">
        <v>50.0</v>
      </c>
      <c r="C566" s="25">
        <v>120.65</v>
      </c>
      <c r="D566" s="9">
        <v>6032.5</v>
      </c>
      <c r="E566" s="15" t="s">
        <v>41</v>
      </c>
    </row>
    <row r="567">
      <c r="A567" s="15">
        <v>569.0</v>
      </c>
      <c r="B567" s="7">
        <v>200.0</v>
      </c>
      <c r="C567" s="25">
        <v>23.5</v>
      </c>
      <c r="D567" s="9">
        <v>4700.0</v>
      </c>
      <c r="E567" s="15" t="s">
        <v>13</v>
      </c>
    </row>
    <row r="568">
      <c r="A568" s="15">
        <v>576.0</v>
      </c>
      <c r="B568" s="7">
        <v>2580.0</v>
      </c>
      <c r="C568" s="25">
        <v>20.71</v>
      </c>
      <c r="D568" s="9">
        <v>53431.8</v>
      </c>
      <c r="E568" s="15" t="s">
        <v>13</v>
      </c>
    </row>
    <row r="569">
      <c r="A569" s="15">
        <v>14001.0</v>
      </c>
      <c r="B569" s="7">
        <v>30.0</v>
      </c>
      <c r="C569" s="25">
        <v>59.25</v>
      </c>
      <c r="D569" s="9">
        <v>1777.5</v>
      </c>
      <c r="E569" s="15" t="s">
        <v>41</v>
      </c>
    </row>
    <row r="570">
      <c r="A570" s="15">
        <v>14009.0</v>
      </c>
      <c r="B570" s="7">
        <v>3631.0</v>
      </c>
      <c r="C570" s="25">
        <v>79.95</v>
      </c>
      <c r="D570" s="9">
        <v>290298.45</v>
      </c>
      <c r="E570" s="15" t="s">
        <v>41</v>
      </c>
    </row>
    <row r="571">
      <c r="A571" s="15">
        <v>14030.0</v>
      </c>
      <c r="B571" s="7">
        <v>39.0</v>
      </c>
      <c r="C571" s="25">
        <v>89.05</v>
      </c>
      <c r="D571" s="9">
        <v>3472.95</v>
      </c>
      <c r="E571" s="15" t="s">
        <v>41</v>
      </c>
    </row>
    <row r="572">
      <c r="A572" s="15">
        <v>14033.0</v>
      </c>
      <c r="B572" s="7">
        <v>179.0</v>
      </c>
      <c r="C572" s="25">
        <v>88.25</v>
      </c>
      <c r="D572" s="9">
        <v>15796.75</v>
      </c>
      <c r="E572" s="15" t="s">
        <v>41</v>
      </c>
    </row>
    <row r="573">
      <c r="A573" s="15" t="s">
        <v>59</v>
      </c>
      <c r="B573" s="7">
        <v>218673.0</v>
      </c>
      <c r="C573" s="25"/>
      <c r="D573" s="7">
        <v>6131021.610000001</v>
      </c>
    </row>
    <row r="574">
      <c r="B574" s="7"/>
      <c r="C574" s="25"/>
      <c r="D574" s="9"/>
    </row>
    <row r="575">
      <c r="B575" s="7"/>
      <c r="C575" s="25"/>
      <c r="D575" s="9"/>
    </row>
    <row r="576">
      <c r="B576" s="7"/>
      <c r="C576" s="25"/>
      <c r="D576" s="9"/>
    </row>
    <row r="577">
      <c r="B577" s="7"/>
      <c r="C577" s="25"/>
      <c r="D577" s="9"/>
    </row>
    <row r="578">
      <c r="B578" s="7"/>
      <c r="C578" s="25"/>
      <c r="D578" s="9"/>
    </row>
    <row r="579">
      <c r="B579" s="7"/>
      <c r="C579" s="25"/>
      <c r="D579" s="9"/>
    </row>
    <row r="580">
      <c r="B580" s="7"/>
      <c r="C580" s="25"/>
      <c r="D580" s="9"/>
    </row>
    <row r="581">
      <c r="B581" s="7"/>
      <c r="C581" s="25"/>
      <c r="D581" s="9"/>
    </row>
    <row r="582">
      <c r="B582" s="7"/>
      <c r="C582" s="25"/>
      <c r="D582" s="9"/>
    </row>
    <row r="583">
      <c r="B583" s="7"/>
      <c r="C583" s="25"/>
      <c r="D583" s="9"/>
    </row>
    <row r="584">
      <c r="B584" s="7"/>
      <c r="C584" s="25"/>
      <c r="D584" s="9"/>
    </row>
    <row r="585">
      <c r="B585" s="7"/>
      <c r="C585" s="25"/>
      <c r="D585" s="9"/>
    </row>
    <row r="586">
      <c r="B586" s="7"/>
      <c r="C586" s="25"/>
      <c r="D586" s="9"/>
    </row>
    <row r="587">
      <c r="B587" s="7"/>
      <c r="C587" s="25"/>
      <c r="D587" s="9"/>
    </row>
    <row r="588">
      <c r="B588" s="7"/>
      <c r="C588" s="25"/>
      <c r="D588" s="9"/>
    </row>
    <row r="589">
      <c r="B589" s="7"/>
      <c r="C589" s="25"/>
      <c r="D589" s="9"/>
    </row>
    <row r="590">
      <c r="B590" s="7"/>
      <c r="C590" s="25"/>
      <c r="D590" s="9"/>
    </row>
    <row r="591">
      <c r="B591" s="7"/>
      <c r="C591" s="25"/>
      <c r="D591" s="9"/>
    </row>
    <row r="592">
      <c r="B592" s="7"/>
      <c r="C592" s="25"/>
      <c r="D592" s="9"/>
    </row>
    <row r="593">
      <c r="B593" s="7"/>
      <c r="C593" s="25"/>
      <c r="D593" s="9"/>
    </row>
    <row r="594">
      <c r="B594" s="7"/>
      <c r="C594" s="25"/>
      <c r="D594" s="9"/>
    </row>
    <row r="595">
      <c r="B595" s="7"/>
      <c r="C595" s="25"/>
      <c r="D595" s="9"/>
    </row>
    <row r="596">
      <c r="B596" s="7"/>
      <c r="C596" s="25"/>
      <c r="D596" s="9"/>
    </row>
    <row r="597">
      <c r="B597" s="7"/>
      <c r="C597" s="25"/>
      <c r="D597" s="9"/>
    </row>
    <row r="598">
      <c r="B598" s="7"/>
      <c r="C598" s="25"/>
      <c r="D598" s="9"/>
    </row>
    <row r="599">
      <c r="B599" s="7"/>
      <c r="C599" s="25"/>
      <c r="D599" s="9"/>
    </row>
    <row r="600">
      <c r="B600" s="7"/>
      <c r="C600" s="25"/>
      <c r="D600" s="9"/>
    </row>
    <row r="601">
      <c r="B601" s="7"/>
      <c r="C601" s="25"/>
      <c r="D601" s="9"/>
    </row>
    <row r="602">
      <c r="B602" s="7"/>
      <c r="C602" s="25"/>
      <c r="D602" s="9"/>
    </row>
    <row r="603">
      <c r="B603" s="7"/>
      <c r="C603" s="25"/>
      <c r="D603" s="9"/>
    </row>
    <row r="604">
      <c r="B604" s="7"/>
      <c r="C604" s="25"/>
      <c r="D604" s="9"/>
    </row>
    <row r="605">
      <c r="B605" s="7"/>
      <c r="C605" s="25"/>
      <c r="D605" s="9"/>
    </row>
    <row r="606">
      <c r="B606" s="7"/>
      <c r="C606" s="25"/>
      <c r="D606" s="9"/>
    </row>
    <row r="607">
      <c r="B607" s="7"/>
      <c r="C607" s="25"/>
      <c r="D607" s="9"/>
    </row>
    <row r="608">
      <c r="B608" s="7"/>
      <c r="C608" s="25"/>
      <c r="D608" s="9"/>
    </row>
    <row r="609">
      <c r="B609" s="7"/>
      <c r="C609" s="25"/>
      <c r="D609" s="9"/>
    </row>
    <row r="610">
      <c r="B610" s="7"/>
      <c r="C610" s="25"/>
      <c r="D610" s="9"/>
    </row>
    <row r="611">
      <c r="B611" s="7"/>
      <c r="C611" s="25"/>
      <c r="D611" s="9"/>
    </row>
    <row r="612">
      <c r="B612" s="7"/>
      <c r="C612" s="25"/>
      <c r="D612" s="9"/>
    </row>
    <row r="613">
      <c r="B613" s="7"/>
      <c r="C613" s="25"/>
      <c r="D613" s="9"/>
    </row>
    <row r="614">
      <c r="B614" s="7"/>
      <c r="C614" s="25"/>
      <c r="D614" s="9"/>
    </row>
    <row r="615">
      <c r="B615" s="7"/>
      <c r="C615" s="25"/>
      <c r="D615" s="9"/>
    </row>
    <row r="616">
      <c r="B616" s="7"/>
      <c r="C616" s="25"/>
      <c r="D616" s="9"/>
    </row>
    <row r="617">
      <c r="B617" s="7"/>
      <c r="C617" s="25"/>
      <c r="D617" s="9"/>
    </row>
    <row r="618">
      <c r="B618" s="7"/>
      <c r="C618" s="25"/>
      <c r="D618" s="9"/>
    </row>
    <row r="619">
      <c r="B619" s="7"/>
      <c r="C619" s="25"/>
      <c r="D619" s="9"/>
    </row>
    <row r="620">
      <c r="B620" s="7"/>
      <c r="C620" s="25"/>
      <c r="D620" s="9"/>
    </row>
    <row r="621">
      <c r="B621" s="7"/>
      <c r="C621" s="25"/>
      <c r="D621" s="9"/>
    </row>
    <row r="622">
      <c r="B622" s="7"/>
      <c r="C622" s="25"/>
      <c r="D622" s="9"/>
    </row>
    <row r="623">
      <c r="B623" s="7"/>
      <c r="C623" s="25"/>
      <c r="D623" s="9"/>
    </row>
    <row r="624">
      <c r="B624" s="7"/>
      <c r="C624" s="25"/>
      <c r="D624" s="9"/>
    </row>
    <row r="625">
      <c r="B625" s="7"/>
      <c r="C625" s="25"/>
      <c r="D625" s="9"/>
    </row>
    <row r="626">
      <c r="B626" s="7"/>
      <c r="C626" s="25"/>
      <c r="D626" s="9"/>
    </row>
    <row r="627">
      <c r="B627" s="7"/>
      <c r="C627" s="25"/>
      <c r="D627" s="9"/>
    </row>
    <row r="628">
      <c r="B628" s="7"/>
      <c r="C628" s="25"/>
      <c r="D628" s="9"/>
    </row>
    <row r="629">
      <c r="B629" s="7"/>
      <c r="C629" s="25"/>
      <c r="D629" s="9"/>
    </row>
    <row r="630">
      <c r="B630" s="7"/>
      <c r="C630" s="25"/>
      <c r="D630" s="9"/>
    </row>
    <row r="631">
      <c r="B631" s="7"/>
      <c r="C631" s="25"/>
      <c r="D631" s="9"/>
    </row>
    <row r="632">
      <c r="B632" s="7"/>
      <c r="C632" s="25"/>
      <c r="D632" s="9"/>
    </row>
    <row r="633">
      <c r="B633" s="7"/>
      <c r="C633" s="25"/>
      <c r="D633" s="9"/>
    </row>
    <row r="634">
      <c r="B634" s="7"/>
      <c r="C634" s="25"/>
      <c r="D634" s="9"/>
    </row>
    <row r="635">
      <c r="B635" s="7"/>
      <c r="C635" s="25"/>
      <c r="D635" s="9"/>
    </row>
    <row r="636">
      <c r="B636" s="7"/>
      <c r="C636" s="25"/>
      <c r="D636" s="9"/>
    </row>
    <row r="637">
      <c r="B637" s="7"/>
      <c r="C637" s="25"/>
      <c r="D637" s="9"/>
    </row>
    <row r="638">
      <c r="B638" s="7"/>
      <c r="C638" s="25"/>
      <c r="D638" s="9"/>
    </row>
    <row r="639">
      <c r="B639" s="7"/>
      <c r="C639" s="25"/>
      <c r="D639" s="9"/>
    </row>
    <row r="640">
      <c r="B640" s="7"/>
      <c r="C640" s="25"/>
      <c r="D640" s="9"/>
    </row>
    <row r="641">
      <c r="B641" s="7"/>
      <c r="C641" s="25"/>
      <c r="D641" s="9"/>
    </row>
    <row r="642">
      <c r="B642" s="7"/>
      <c r="C642" s="25"/>
      <c r="D642" s="9"/>
    </row>
    <row r="643">
      <c r="B643" s="7"/>
      <c r="C643" s="25"/>
      <c r="D643" s="9"/>
    </row>
    <row r="644">
      <c r="B644" s="7"/>
      <c r="C644" s="25"/>
      <c r="D644" s="9"/>
    </row>
    <row r="645">
      <c r="B645" s="7"/>
      <c r="C645" s="25"/>
      <c r="D645" s="9"/>
    </row>
    <row r="646">
      <c r="B646" s="7"/>
      <c r="C646" s="25"/>
      <c r="D646" s="9"/>
    </row>
    <row r="647">
      <c r="B647" s="7"/>
      <c r="C647" s="25"/>
      <c r="D647" s="9"/>
    </row>
    <row r="648">
      <c r="B648" s="7"/>
      <c r="C648" s="25"/>
      <c r="D648" s="9"/>
    </row>
    <row r="649">
      <c r="B649" s="7"/>
      <c r="C649" s="25"/>
      <c r="D649" s="9"/>
    </row>
    <row r="650">
      <c r="B650" s="7"/>
      <c r="C650" s="25"/>
      <c r="D650" s="9"/>
    </row>
    <row r="651">
      <c r="B651" s="7"/>
      <c r="C651" s="25"/>
      <c r="D651" s="9"/>
    </row>
    <row r="652">
      <c r="B652" s="7"/>
      <c r="C652" s="25"/>
      <c r="D652" s="9"/>
    </row>
    <row r="653">
      <c r="B653" s="7"/>
      <c r="C653" s="25"/>
      <c r="D653" s="9"/>
    </row>
    <row r="654">
      <c r="B654" s="7"/>
      <c r="C654" s="25"/>
      <c r="D654" s="9"/>
    </row>
    <row r="655">
      <c r="B655" s="7"/>
      <c r="C655" s="25"/>
      <c r="D655" s="9"/>
    </row>
    <row r="656">
      <c r="B656" s="7"/>
      <c r="C656" s="25"/>
      <c r="D656" s="9"/>
    </row>
    <row r="657">
      <c r="B657" s="7"/>
      <c r="C657" s="25"/>
      <c r="D657" s="9"/>
    </row>
    <row r="658">
      <c r="B658" s="7"/>
      <c r="C658" s="25"/>
      <c r="D658" s="9"/>
    </row>
    <row r="659">
      <c r="B659" s="7"/>
      <c r="C659" s="25"/>
      <c r="D659" s="9"/>
    </row>
    <row r="660">
      <c r="B660" s="7"/>
      <c r="C660" s="25"/>
      <c r="D660" s="9"/>
    </row>
    <row r="661">
      <c r="B661" s="7"/>
      <c r="C661" s="25"/>
      <c r="D661" s="9"/>
    </row>
    <row r="662">
      <c r="B662" s="7"/>
      <c r="C662" s="25"/>
      <c r="D662" s="9"/>
    </row>
    <row r="663">
      <c r="B663" s="7"/>
      <c r="C663" s="25"/>
      <c r="D663" s="9"/>
    </row>
    <row r="664">
      <c r="B664" s="7"/>
      <c r="C664" s="25"/>
      <c r="D664" s="9"/>
    </row>
    <row r="665">
      <c r="B665" s="7"/>
      <c r="C665" s="25"/>
      <c r="D665" s="9"/>
    </row>
    <row r="666">
      <c r="B666" s="7"/>
      <c r="C666" s="25"/>
      <c r="D666" s="9"/>
    </row>
    <row r="667">
      <c r="B667" s="7"/>
      <c r="C667" s="25"/>
      <c r="D667" s="9"/>
    </row>
    <row r="668">
      <c r="B668" s="7"/>
      <c r="C668" s="25"/>
      <c r="D668" s="9"/>
    </row>
    <row r="669">
      <c r="B669" s="7"/>
      <c r="C669" s="25"/>
      <c r="D669" s="9"/>
    </row>
    <row r="670">
      <c r="B670" s="7"/>
      <c r="C670" s="25"/>
      <c r="D670" s="9"/>
    </row>
    <row r="671">
      <c r="B671" s="7"/>
      <c r="C671" s="25"/>
      <c r="D671" s="9"/>
    </row>
    <row r="672">
      <c r="B672" s="7"/>
      <c r="C672" s="25"/>
      <c r="D672" s="9"/>
    </row>
    <row r="673">
      <c r="B673" s="7"/>
      <c r="C673" s="25"/>
      <c r="D673" s="9"/>
    </row>
    <row r="674">
      <c r="B674" s="7"/>
      <c r="C674" s="25"/>
      <c r="D674" s="9"/>
    </row>
    <row r="675">
      <c r="B675" s="7"/>
      <c r="C675" s="25"/>
      <c r="D675" s="9"/>
    </row>
    <row r="676">
      <c r="B676" s="7"/>
      <c r="C676" s="25"/>
      <c r="D676" s="9"/>
    </row>
    <row r="677">
      <c r="B677" s="7"/>
      <c r="C677" s="25"/>
      <c r="D677" s="9"/>
    </row>
    <row r="678">
      <c r="B678" s="7"/>
      <c r="C678" s="25"/>
      <c r="D678" s="9"/>
    </row>
    <row r="679">
      <c r="B679" s="7"/>
      <c r="C679" s="25"/>
      <c r="D679" s="9"/>
    </row>
    <row r="680">
      <c r="B680" s="7"/>
      <c r="C680" s="25"/>
      <c r="D680" s="9"/>
    </row>
    <row r="681">
      <c r="B681" s="7"/>
      <c r="C681" s="25"/>
      <c r="D681" s="9"/>
    </row>
    <row r="682">
      <c r="B682" s="7"/>
      <c r="C682" s="25"/>
      <c r="D682" s="9"/>
    </row>
    <row r="683">
      <c r="B683" s="7"/>
      <c r="C683" s="25"/>
      <c r="D683" s="9"/>
    </row>
    <row r="684">
      <c r="B684" s="7"/>
      <c r="C684" s="25"/>
      <c r="D684" s="9"/>
    </row>
    <row r="685">
      <c r="B685" s="7"/>
      <c r="C685" s="25"/>
      <c r="D685" s="9"/>
    </row>
    <row r="686">
      <c r="B686" s="7"/>
      <c r="C686" s="25"/>
      <c r="D686" s="9"/>
    </row>
    <row r="687">
      <c r="B687" s="7"/>
      <c r="C687" s="25"/>
      <c r="D687" s="9"/>
    </row>
    <row r="688">
      <c r="B688" s="7"/>
      <c r="C688" s="25"/>
      <c r="D688" s="9"/>
    </row>
    <row r="689">
      <c r="B689" s="7"/>
      <c r="C689" s="25"/>
      <c r="D689" s="9"/>
    </row>
    <row r="690">
      <c r="B690" s="7"/>
      <c r="C690" s="25"/>
      <c r="D690" s="9"/>
    </row>
    <row r="691">
      <c r="B691" s="7"/>
      <c r="C691" s="25"/>
      <c r="D691" s="9"/>
    </row>
    <row r="692">
      <c r="B692" s="7"/>
      <c r="C692" s="25"/>
      <c r="D692" s="9"/>
    </row>
    <row r="693">
      <c r="B693" s="7"/>
      <c r="C693" s="25"/>
      <c r="D693" s="9"/>
    </row>
    <row r="694">
      <c r="B694" s="7"/>
      <c r="C694" s="25"/>
      <c r="D694" s="9"/>
    </row>
    <row r="695">
      <c r="B695" s="7"/>
      <c r="C695" s="25"/>
      <c r="D695" s="9"/>
    </row>
    <row r="696">
      <c r="B696" s="7"/>
      <c r="C696" s="25"/>
      <c r="D696" s="9"/>
    </row>
    <row r="697">
      <c r="B697" s="7"/>
      <c r="C697" s="25"/>
      <c r="D697" s="9"/>
    </row>
    <row r="698">
      <c r="B698" s="7"/>
      <c r="C698" s="25"/>
      <c r="D698" s="9"/>
    </row>
    <row r="699">
      <c r="B699" s="7"/>
      <c r="C699" s="25"/>
      <c r="D699" s="9"/>
    </row>
    <row r="700">
      <c r="B700" s="7"/>
      <c r="C700" s="25"/>
      <c r="D700" s="9"/>
    </row>
    <row r="701">
      <c r="B701" s="7"/>
      <c r="C701" s="25"/>
      <c r="D701" s="9"/>
    </row>
    <row r="702">
      <c r="B702" s="7"/>
      <c r="C702" s="25"/>
      <c r="D702" s="9"/>
    </row>
    <row r="703">
      <c r="B703" s="7"/>
      <c r="C703" s="25"/>
      <c r="D703" s="9"/>
    </row>
    <row r="704">
      <c r="B704" s="7"/>
      <c r="C704" s="25"/>
      <c r="D704" s="9"/>
    </row>
    <row r="705">
      <c r="B705" s="7"/>
      <c r="C705" s="25"/>
      <c r="D705" s="9"/>
    </row>
    <row r="706">
      <c r="B706" s="7"/>
      <c r="C706" s="25"/>
      <c r="D706" s="9"/>
    </row>
    <row r="707">
      <c r="B707" s="7"/>
      <c r="C707" s="25"/>
      <c r="D707" s="9"/>
    </row>
    <row r="708">
      <c r="B708" s="7"/>
      <c r="C708" s="25"/>
      <c r="D708" s="9"/>
    </row>
    <row r="709">
      <c r="B709" s="7"/>
      <c r="C709" s="25"/>
      <c r="D709" s="9"/>
    </row>
    <row r="710">
      <c r="B710" s="7"/>
      <c r="C710" s="25"/>
      <c r="D710" s="9"/>
    </row>
    <row r="711">
      <c r="B711" s="7"/>
      <c r="C711" s="25"/>
      <c r="D711" s="9"/>
    </row>
    <row r="712">
      <c r="B712" s="7"/>
      <c r="C712" s="25"/>
      <c r="D712" s="9"/>
    </row>
    <row r="713">
      <c r="B713" s="7"/>
      <c r="C713" s="25"/>
      <c r="D713" s="9"/>
    </row>
    <row r="714">
      <c r="B714" s="7"/>
      <c r="C714" s="25"/>
      <c r="D714" s="9"/>
    </row>
    <row r="715">
      <c r="B715" s="7"/>
      <c r="C715" s="25"/>
      <c r="D715" s="9"/>
    </row>
    <row r="716">
      <c r="B716" s="7"/>
      <c r="C716" s="25"/>
      <c r="D716" s="9"/>
    </row>
    <row r="717">
      <c r="B717" s="7"/>
      <c r="C717" s="25"/>
      <c r="D717" s="9"/>
    </row>
    <row r="718">
      <c r="B718" s="7"/>
      <c r="C718" s="25"/>
      <c r="D718" s="9"/>
    </row>
    <row r="719">
      <c r="B719" s="7"/>
      <c r="C719" s="25"/>
      <c r="D719" s="9"/>
    </row>
    <row r="720">
      <c r="B720" s="7"/>
      <c r="C720" s="25"/>
      <c r="D720" s="9"/>
    </row>
    <row r="721">
      <c r="B721" s="7"/>
      <c r="C721" s="25"/>
      <c r="D721" s="9"/>
    </row>
    <row r="722">
      <c r="B722" s="7"/>
      <c r="C722" s="25"/>
      <c r="D722" s="9"/>
    </row>
    <row r="723">
      <c r="B723" s="7"/>
      <c r="C723" s="25"/>
      <c r="D723" s="9"/>
    </row>
    <row r="724">
      <c r="B724" s="7"/>
      <c r="C724" s="25"/>
      <c r="D724" s="9"/>
    </row>
    <row r="725">
      <c r="B725" s="7"/>
      <c r="C725" s="25"/>
      <c r="D725" s="9"/>
    </row>
    <row r="726">
      <c r="B726" s="7"/>
      <c r="C726" s="25"/>
      <c r="D726" s="9"/>
    </row>
    <row r="727">
      <c r="B727" s="7"/>
      <c r="C727" s="25"/>
      <c r="D727" s="9"/>
    </row>
    <row r="728">
      <c r="B728" s="7"/>
      <c r="C728" s="25"/>
      <c r="D728" s="9"/>
    </row>
    <row r="729">
      <c r="B729" s="7"/>
      <c r="C729" s="25"/>
      <c r="D729" s="9"/>
    </row>
    <row r="730">
      <c r="B730" s="7"/>
      <c r="C730" s="25"/>
      <c r="D730" s="9"/>
    </row>
    <row r="731">
      <c r="B731" s="7"/>
      <c r="C731" s="25"/>
      <c r="D731" s="9"/>
    </row>
    <row r="732">
      <c r="B732" s="7"/>
      <c r="C732" s="25"/>
      <c r="D732" s="9"/>
    </row>
    <row r="733">
      <c r="B733" s="7"/>
      <c r="C733" s="25"/>
      <c r="D733" s="9"/>
    </row>
    <row r="734">
      <c r="B734" s="7"/>
      <c r="C734" s="25"/>
      <c r="D734" s="9"/>
    </row>
    <row r="735">
      <c r="B735" s="7"/>
      <c r="C735" s="25"/>
      <c r="D735" s="9"/>
    </row>
    <row r="736">
      <c r="B736" s="7"/>
      <c r="C736" s="25"/>
      <c r="D736" s="9"/>
    </row>
    <row r="737">
      <c r="B737" s="7"/>
      <c r="C737" s="25"/>
      <c r="D737" s="9"/>
    </row>
    <row r="738">
      <c r="B738" s="7"/>
      <c r="C738" s="25"/>
      <c r="D738" s="9"/>
    </row>
    <row r="739">
      <c r="B739" s="7"/>
      <c r="C739" s="25"/>
      <c r="D739" s="9"/>
    </row>
    <row r="740">
      <c r="B740" s="7"/>
      <c r="C740" s="25"/>
      <c r="D740" s="9"/>
    </row>
    <row r="741">
      <c r="B741" s="7"/>
      <c r="C741" s="25"/>
      <c r="D741" s="9"/>
    </row>
    <row r="742">
      <c r="B742" s="7"/>
      <c r="C742" s="25"/>
      <c r="D742" s="9"/>
    </row>
    <row r="743">
      <c r="B743" s="7"/>
      <c r="C743" s="25"/>
      <c r="D743" s="9"/>
    </row>
    <row r="744">
      <c r="B744" s="7"/>
      <c r="C744" s="25"/>
      <c r="D744" s="9"/>
    </row>
    <row r="745">
      <c r="B745" s="7"/>
      <c r="C745" s="25"/>
      <c r="D745" s="9"/>
    </row>
    <row r="746">
      <c r="B746" s="7"/>
      <c r="C746" s="25"/>
      <c r="D746" s="9"/>
    </row>
    <row r="747">
      <c r="B747" s="7"/>
      <c r="C747" s="25"/>
      <c r="D747" s="9"/>
    </row>
    <row r="748">
      <c r="B748" s="7"/>
      <c r="C748" s="25"/>
      <c r="D748" s="9"/>
    </row>
    <row r="749">
      <c r="B749" s="7"/>
      <c r="C749" s="25"/>
      <c r="D749" s="9"/>
    </row>
    <row r="750">
      <c r="B750" s="7"/>
      <c r="C750" s="25"/>
      <c r="D750" s="9"/>
    </row>
    <row r="751">
      <c r="B751" s="7"/>
      <c r="C751" s="25"/>
      <c r="D751" s="9"/>
    </row>
    <row r="752">
      <c r="B752" s="7"/>
      <c r="C752" s="25"/>
      <c r="D752" s="9"/>
    </row>
    <row r="753">
      <c r="B753" s="7"/>
      <c r="C753" s="25"/>
      <c r="D753" s="9"/>
    </row>
    <row r="754">
      <c r="B754" s="7"/>
      <c r="C754" s="25"/>
      <c r="D754" s="9"/>
    </row>
    <row r="755">
      <c r="B755" s="7"/>
      <c r="C755" s="25"/>
      <c r="D755" s="9"/>
    </row>
    <row r="756">
      <c r="B756" s="7"/>
      <c r="C756" s="25"/>
      <c r="D756" s="9"/>
    </row>
    <row r="757">
      <c r="B757" s="7"/>
      <c r="C757" s="25"/>
      <c r="D757" s="9"/>
    </row>
    <row r="758">
      <c r="B758" s="7"/>
      <c r="C758" s="25"/>
      <c r="D758" s="9"/>
    </row>
    <row r="759">
      <c r="B759" s="7"/>
      <c r="C759" s="25"/>
      <c r="D759" s="9"/>
    </row>
    <row r="760">
      <c r="B760" s="7"/>
      <c r="C760" s="25"/>
      <c r="D760" s="9"/>
    </row>
    <row r="761">
      <c r="B761" s="7"/>
      <c r="C761" s="25"/>
      <c r="D761" s="9"/>
    </row>
    <row r="762">
      <c r="B762" s="7"/>
      <c r="C762" s="25"/>
      <c r="D762" s="9"/>
    </row>
    <row r="763">
      <c r="B763" s="7"/>
      <c r="C763" s="25"/>
      <c r="D763" s="9"/>
    </row>
    <row r="764">
      <c r="B764" s="7"/>
      <c r="C764" s="25"/>
      <c r="D764" s="9"/>
    </row>
    <row r="765">
      <c r="B765" s="7"/>
      <c r="C765" s="25"/>
      <c r="D765" s="9"/>
    </row>
    <row r="766">
      <c r="B766" s="7"/>
      <c r="C766" s="25"/>
      <c r="D766" s="9"/>
    </row>
    <row r="767">
      <c r="B767" s="7"/>
      <c r="C767" s="25"/>
      <c r="D767" s="9"/>
    </row>
    <row r="768">
      <c r="B768" s="7"/>
      <c r="C768" s="25"/>
      <c r="D768" s="9"/>
    </row>
    <row r="769">
      <c r="B769" s="7"/>
      <c r="C769" s="25"/>
      <c r="D769" s="9"/>
    </row>
    <row r="770">
      <c r="B770" s="7"/>
      <c r="C770" s="25"/>
      <c r="D770" s="9"/>
    </row>
    <row r="771">
      <c r="B771" s="7"/>
      <c r="C771" s="25"/>
      <c r="D771" s="9"/>
    </row>
    <row r="772">
      <c r="B772" s="7"/>
      <c r="C772" s="25"/>
      <c r="D772" s="9"/>
    </row>
    <row r="773">
      <c r="B773" s="7"/>
      <c r="C773" s="25"/>
      <c r="D773" s="9"/>
    </row>
    <row r="774">
      <c r="B774" s="7"/>
      <c r="C774" s="25"/>
      <c r="D774" s="9"/>
    </row>
    <row r="775">
      <c r="B775" s="7"/>
      <c r="C775" s="25"/>
      <c r="D775" s="9"/>
    </row>
    <row r="776">
      <c r="B776" s="7"/>
      <c r="C776" s="25"/>
      <c r="D776" s="9"/>
    </row>
    <row r="777">
      <c r="B777" s="7"/>
      <c r="C777" s="25"/>
      <c r="D777" s="9"/>
    </row>
    <row r="778">
      <c r="B778" s="7"/>
      <c r="C778" s="25"/>
      <c r="D778" s="9"/>
    </row>
    <row r="779">
      <c r="B779" s="7"/>
      <c r="C779" s="25"/>
      <c r="D779" s="9"/>
    </row>
    <row r="780">
      <c r="B780" s="7"/>
      <c r="C780" s="25"/>
      <c r="D780" s="9"/>
    </row>
    <row r="781">
      <c r="B781" s="7"/>
      <c r="C781" s="25"/>
      <c r="D781" s="9"/>
    </row>
    <row r="782">
      <c r="B782" s="7"/>
      <c r="C782" s="25"/>
      <c r="D782" s="9"/>
    </row>
    <row r="783">
      <c r="B783" s="7"/>
      <c r="C783" s="25"/>
      <c r="D783" s="9"/>
    </row>
    <row r="784">
      <c r="B784" s="7"/>
      <c r="C784" s="25"/>
      <c r="D784" s="9"/>
    </row>
    <row r="785">
      <c r="B785" s="7"/>
      <c r="C785" s="25"/>
      <c r="D785" s="9"/>
    </row>
    <row r="786">
      <c r="B786" s="7"/>
      <c r="C786" s="25"/>
      <c r="D786" s="9"/>
    </row>
    <row r="787">
      <c r="B787" s="7"/>
      <c r="C787" s="25"/>
      <c r="D787" s="9"/>
    </row>
    <row r="788">
      <c r="B788" s="7"/>
      <c r="C788" s="25"/>
      <c r="D788" s="9"/>
    </row>
    <row r="789">
      <c r="B789" s="7"/>
      <c r="C789" s="25"/>
      <c r="D789" s="9"/>
    </row>
    <row r="790">
      <c r="B790" s="7"/>
      <c r="C790" s="25"/>
      <c r="D790" s="9"/>
    </row>
    <row r="791">
      <c r="B791" s="7"/>
      <c r="C791" s="25"/>
      <c r="D791" s="9"/>
    </row>
    <row r="792">
      <c r="B792" s="7"/>
      <c r="C792" s="25"/>
      <c r="D792" s="9"/>
    </row>
    <row r="793">
      <c r="B793" s="7"/>
      <c r="C793" s="25"/>
      <c r="D793" s="9"/>
    </row>
    <row r="794">
      <c r="B794" s="7"/>
      <c r="C794" s="25"/>
      <c r="D794" s="9"/>
    </row>
    <row r="795">
      <c r="B795" s="7"/>
      <c r="C795" s="25"/>
      <c r="D795" s="9"/>
    </row>
    <row r="796">
      <c r="B796" s="7"/>
      <c r="C796" s="25"/>
      <c r="D796" s="9"/>
    </row>
    <row r="797">
      <c r="B797" s="7"/>
      <c r="C797" s="25"/>
      <c r="D797" s="9"/>
    </row>
    <row r="798">
      <c r="B798" s="7"/>
      <c r="C798" s="25"/>
      <c r="D798" s="9"/>
    </row>
    <row r="799">
      <c r="B799" s="7"/>
      <c r="C799" s="25"/>
      <c r="D799" s="9"/>
    </row>
    <row r="800">
      <c r="B800" s="7"/>
      <c r="C800" s="25"/>
      <c r="D800" s="9"/>
    </row>
    <row r="801">
      <c r="B801" s="7"/>
      <c r="C801" s="25"/>
      <c r="D801" s="9"/>
    </row>
    <row r="802">
      <c r="B802" s="7"/>
      <c r="C802" s="25"/>
      <c r="D802" s="9"/>
    </row>
    <row r="803">
      <c r="B803" s="7"/>
      <c r="C803" s="25"/>
      <c r="D803" s="9"/>
    </row>
    <row r="804">
      <c r="B804" s="7"/>
      <c r="C804" s="25"/>
      <c r="D804" s="9"/>
    </row>
    <row r="805">
      <c r="B805" s="7"/>
      <c r="C805" s="25"/>
      <c r="D805" s="9"/>
    </row>
    <row r="806">
      <c r="B806" s="7"/>
      <c r="C806" s="25"/>
      <c r="D806" s="9"/>
    </row>
    <row r="807">
      <c r="B807" s="7"/>
      <c r="C807" s="25"/>
      <c r="D807" s="9"/>
    </row>
    <row r="808">
      <c r="B808" s="7"/>
      <c r="C808" s="25"/>
      <c r="D808" s="9"/>
    </row>
    <row r="809">
      <c r="B809" s="7"/>
      <c r="C809" s="25"/>
      <c r="D809" s="9"/>
    </row>
    <row r="810">
      <c r="B810" s="7"/>
      <c r="C810" s="25"/>
      <c r="D810" s="9"/>
    </row>
    <row r="811">
      <c r="B811" s="7"/>
      <c r="C811" s="25"/>
      <c r="D811" s="9"/>
    </row>
    <row r="812">
      <c r="B812" s="7"/>
      <c r="C812" s="25"/>
      <c r="D812" s="9"/>
    </row>
    <row r="813">
      <c r="B813" s="7"/>
      <c r="C813" s="25"/>
      <c r="D813" s="9"/>
    </row>
    <row r="814">
      <c r="B814" s="7"/>
      <c r="C814" s="25"/>
      <c r="D814" s="9"/>
    </row>
    <row r="815">
      <c r="B815" s="7"/>
      <c r="C815" s="25"/>
      <c r="D815" s="9"/>
    </row>
    <row r="816">
      <c r="B816" s="7"/>
      <c r="C816" s="25"/>
      <c r="D816" s="9"/>
    </row>
    <row r="817">
      <c r="B817" s="7"/>
      <c r="C817" s="25"/>
      <c r="D817" s="9"/>
    </row>
    <row r="818">
      <c r="B818" s="7"/>
      <c r="C818" s="25"/>
      <c r="D818" s="9"/>
    </row>
    <row r="819">
      <c r="B819" s="7"/>
      <c r="C819" s="25"/>
      <c r="D819" s="9"/>
    </row>
    <row r="820">
      <c r="B820" s="7"/>
      <c r="C820" s="25"/>
      <c r="D820" s="9"/>
    </row>
    <row r="821">
      <c r="B821" s="7"/>
      <c r="C821" s="25"/>
      <c r="D821" s="9"/>
    </row>
    <row r="822">
      <c r="B822" s="7"/>
      <c r="C822" s="25"/>
      <c r="D822" s="9"/>
    </row>
    <row r="823">
      <c r="B823" s="7"/>
      <c r="C823" s="25"/>
      <c r="D823" s="9"/>
    </row>
    <row r="824">
      <c r="B824" s="7"/>
      <c r="C824" s="25"/>
      <c r="D824" s="9"/>
    </row>
    <row r="825">
      <c r="B825" s="7"/>
      <c r="C825" s="25"/>
      <c r="D825" s="9"/>
    </row>
    <row r="826">
      <c r="B826" s="7"/>
      <c r="C826" s="25"/>
      <c r="D826" s="9"/>
    </row>
    <row r="827">
      <c r="B827" s="7"/>
      <c r="C827" s="25"/>
      <c r="D827" s="9"/>
    </row>
    <row r="828">
      <c r="B828" s="7"/>
      <c r="C828" s="25"/>
      <c r="D828" s="9"/>
    </row>
    <row r="829">
      <c r="B829" s="7"/>
      <c r="C829" s="25"/>
      <c r="D829" s="9"/>
    </row>
    <row r="830">
      <c r="B830" s="7"/>
      <c r="C830" s="25"/>
      <c r="D830" s="9"/>
    </row>
    <row r="831">
      <c r="B831" s="7"/>
      <c r="C831" s="25"/>
      <c r="D831" s="9"/>
    </row>
    <row r="832">
      <c r="B832" s="7"/>
      <c r="C832" s="25"/>
      <c r="D832" s="9"/>
    </row>
    <row r="833">
      <c r="B833" s="7"/>
      <c r="C833" s="25"/>
      <c r="D833" s="9"/>
    </row>
    <row r="834">
      <c r="B834" s="7"/>
      <c r="C834" s="25"/>
      <c r="D834" s="9"/>
    </row>
    <row r="835">
      <c r="B835" s="7"/>
      <c r="C835" s="25"/>
      <c r="D835" s="9"/>
    </row>
    <row r="836">
      <c r="B836" s="7"/>
      <c r="C836" s="25"/>
      <c r="D836" s="9"/>
    </row>
    <row r="837">
      <c r="B837" s="7"/>
      <c r="C837" s="25"/>
      <c r="D837" s="9"/>
    </row>
    <row r="838">
      <c r="B838" s="7"/>
      <c r="C838" s="25"/>
      <c r="D838" s="9"/>
    </row>
    <row r="839">
      <c r="B839" s="7"/>
      <c r="C839" s="25"/>
      <c r="D839" s="9"/>
    </row>
    <row r="840">
      <c r="B840" s="7"/>
      <c r="C840" s="25"/>
      <c r="D840" s="9"/>
    </row>
    <row r="841">
      <c r="B841" s="7"/>
      <c r="C841" s="25"/>
      <c r="D841" s="9"/>
    </row>
    <row r="842">
      <c r="B842" s="7"/>
      <c r="C842" s="25"/>
      <c r="D842" s="9"/>
    </row>
    <row r="843">
      <c r="B843" s="7"/>
      <c r="C843" s="25"/>
      <c r="D843" s="9"/>
    </row>
    <row r="844">
      <c r="B844" s="7"/>
      <c r="C844" s="25"/>
      <c r="D844" s="9"/>
    </row>
    <row r="845">
      <c r="B845" s="7"/>
      <c r="C845" s="25"/>
      <c r="D845" s="9"/>
    </row>
    <row r="846">
      <c r="B846" s="7"/>
      <c r="C846" s="25"/>
      <c r="D846" s="9"/>
    </row>
    <row r="847">
      <c r="B847" s="7"/>
      <c r="C847" s="25"/>
      <c r="D847" s="9"/>
    </row>
    <row r="848">
      <c r="B848" s="7"/>
      <c r="C848" s="25"/>
      <c r="D848" s="9"/>
    </row>
    <row r="849">
      <c r="B849" s="7"/>
      <c r="C849" s="25"/>
      <c r="D849" s="9"/>
    </row>
    <row r="850">
      <c r="B850" s="7"/>
      <c r="C850" s="25"/>
      <c r="D850" s="9"/>
    </row>
    <row r="851">
      <c r="B851" s="7"/>
      <c r="C851" s="25"/>
      <c r="D851" s="9"/>
    </row>
    <row r="852">
      <c r="B852" s="7"/>
      <c r="C852" s="25"/>
      <c r="D852" s="9"/>
    </row>
    <row r="853">
      <c r="B853" s="7"/>
      <c r="C853" s="25"/>
      <c r="D853" s="9"/>
    </row>
    <row r="854">
      <c r="B854" s="7"/>
      <c r="C854" s="25"/>
      <c r="D854" s="9"/>
    </row>
    <row r="855">
      <c r="B855" s="7"/>
      <c r="C855" s="25"/>
      <c r="D855" s="9"/>
    </row>
    <row r="856">
      <c r="B856" s="7"/>
      <c r="C856" s="25"/>
      <c r="D856" s="9"/>
    </row>
    <row r="857">
      <c r="B857" s="7"/>
      <c r="C857" s="25"/>
      <c r="D857" s="9"/>
    </row>
    <row r="858">
      <c r="B858" s="7"/>
      <c r="C858" s="25"/>
      <c r="D858" s="9"/>
    </row>
    <row r="859">
      <c r="B859" s="7"/>
      <c r="C859" s="25"/>
      <c r="D859" s="9"/>
    </row>
    <row r="860">
      <c r="B860" s="7"/>
      <c r="C860" s="25"/>
      <c r="D860" s="9"/>
    </row>
    <row r="861">
      <c r="B861" s="7"/>
      <c r="C861" s="25"/>
      <c r="D861" s="9"/>
    </row>
    <row r="862">
      <c r="B862" s="7"/>
      <c r="C862" s="25"/>
      <c r="D862" s="9"/>
    </row>
    <row r="863">
      <c r="B863" s="7"/>
      <c r="C863" s="25"/>
      <c r="D863" s="9"/>
    </row>
    <row r="864">
      <c r="B864" s="7"/>
      <c r="C864" s="25"/>
      <c r="D864" s="9"/>
    </row>
    <row r="865">
      <c r="B865" s="7"/>
      <c r="C865" s="25"/>
      <c r="D865" s="9"/>
    </row>
    <row r="866">
      <c r="B866" s="7"/>
      <c r="C866" s="25"/>
      <c r="D866" s="9"/>
    </row>
    <row r="867">
      <c r="B867" s="7"/>
      <c r="C867" s="25"/>
      <c r="D867" s="9"/>
    </row>
    <row r="868">
      <c r="B868" s="7"/>
      <c r="C868" s="25"/>
      <c r="D868" s="9"/>
    </row>
    <row r="869">
      <c r="B869" s="7"/>
      <c r="C869" s="25"/>
      <c r="D869" s="9"/>
    </row>
    <row r="870">
      <c r="B870" s="7"/>
      <c r="C870" s="25"/>
      <c r="D870" s="9"/>
    </row>
    <row r="871">
      <c r="B871" s="7"/>
      <c r="C871" s="25"/>
      <c r="D871" s="9"/>
    </row>
    <row r="872">
      <c r="B872" s="7"/>
      <c r="C872" s="25"/>
      <c r="D872" s="9"/>
    </row>
    <row r="873">
      <c r="B873" s="7"/>
      <c r="C873" s="25"/>
      <c r="D873" s="9"/>
    </row>
    <row r="874">
      <c r="B874" s="7"/>
      <c r="C874" s="25"/>
      <c r="D874" s="9"/>
    </row>
    <row r="875">
      <c r="B875" s="7"/>
      <c r="C875" s="25"/>
      <c r="D875" s="9"/>
    </row>
    <row r="876">
      <c r="B876" s="7"/>
      <c r="C876" s="25"/>
      <c r="D876" s="9"/>
    </row>
    <row r="877">
      <c r="B877" s="7"/>
      <c r="C877" s="25"/>
      <c r="D877" s="9"/>
    </row>
    <row r="878">
      <c r="B878" s="7"/>
      <c r="C878" s="25"/>
      <c r="D878" s="9"/>
    </row>
    <row r="879">
      <c r="B879" s="7"/>
      <c r="C879" s="25"/>
      <c r="D879" s="9"/>
    </row>
    <row r="880">
      <c r="B880" s="7"/>
      <c r="C880" s="25"/>
      <c r="D880" s="9"/>
    </row>
    <row r="881">
      <c r="B881" s="7"/>
      <c r="C881" s="25"/>
      <c r="D881" s="9"/>
    </row>
    <row r="882">
      <c r="B882" s="7"/>
      <c r="C882" s="25"/>
      <c r="D882" s="9"/>
    </row>
    <row r="883">
      <c r="B883" s="7"/>
      <c r="C883" s="25"/>
      <c r="D883" s="9"/>
    </row>
    <row r="884">
      <c r="B884" s="7"/>
      <c r="C884" s="25"/>
      <c r="D884" s="9"/>
    </row>
    <row r="885">
      <c r="B885" s="7"/>
      <c r="C885" s="25"/>
      <c r="D885" s="9"/>
    </row>
    <row r="886">
      <c r="B886" s="7"/>
      <c r="C886" s="25"/>
      <c r="D886" s="9"/>
    </row>
    <row r="887">
      <c r="B887" s="7"/>
      <c r="C887" s="25"/>
      <c r="D887" s="9"/>
    </row>
    <row r="888">
      <c r="B888" s="7"/>
      <c r="C888" s="25"/>
      <c r="D888" s="9"/>
    </row>
    <row r="889">
      <c r="B889" s="7"/>
      <c r="C889" s="25"/>
      <c r="D889" s="9"/>
    </row>
    <row r="890">
      <c r="B890" s="7"/>
      <c r="C890" s="25"/>
      <c r="D890" s="9"/>
    </row>
    <row r="891">
      <c r="B891" s="7"/>
      <c r="C891" s="25"/>
      <c r="D891" s="9"/>
    </row>
    <row r="892">
      <c r="B892" s="7"/>
      <c r="C892" s="25"/>
      <c r="D892" s="9"/>
    </row>
    <row r="893">
      <c r="B893" s="7"/>
      <c r="C893" s="25"/>
      <c r="D893" s="9"/>
    </row>
    <row r="894">
      <c r="B894" s="7"/>
      <c r="C894" s="25"/>
      <c r="D894" s="9"/>
    </row>
    <row r="895">
      <c r="B895" s="7"/>
      <c r="C895" s="25"/>
      <c r="D895" s="9"/>
    </row>
    <row r="896">
      <c r="B896" s="7"/>
      <c r="C896" s="25"/>
      <c r="D896" s="9"/>
    </row>
    <row r="897">
      <c r="B897" s="7"/>
      <c r="C897" s="25"/>
      <c r="D897" s="9"/>
    </row>
    <row r="898">
      <c r="B898" s="7"/>
      <c r="C898" s="25"/>
      <c r="D898" s="9"/>
    </row>
    <row r="899">
      <c r="B899" s="7"/>
      <c r="C899" s="25"/>
      <c r="D899" s="9"/>
    </row>
    <row r="900">
      <c r="B900" s="7"/>
      <c r="C900" s="25"/>
      <c r="D900" s="9"/>
    </row>
    <row r="901">
      <c r="B901" s="7"/>
      <c r="C901" s="25"/>
      <c r="D901" s="9"/>
    </row>
    <row r="902">
      <c r="B902" s="7"/>
      <c r="C902" s="25"/>
      <c r="D902" s="9"/>
    </row>
    <row r="903">
      <c r="B903" s="7"/>
      <c r="C903" s="25"/>
      <c r="D903" s="9"/>
    </row>
    <row r="904">
      <c r="B904" s="7"/>
      <c r="C904" s="25"/>
      <c r="D904" s="9"/>
    </row>
    <row r="905">
      <c r="B905" s="7"/>
      <c r="C905" s="25"/>
      <c r="D905" s="9"/>
    </row>
    <row r="906">
      <c r="B906" s="7"/>
      <c r="C906" s="25"/>
      <c r="D906" s="9"/>
    </row>
    <row r="907">
      <c r="B907" s="7"/>
      <c r="C907" s="25"/>
      <c r="D907" s="9"/>
    </row>
    <row r="908">
      <c r="B908" s="7"/>
      <c r="C908" s="25"/>
      <c r="D908" s="9"/>
    </row>
    <row r="909">
      <c r="B909" s="7"/>
      <c r="C909" s="25"/>
      <c r="D909" s="9"/>
    </row>
    <row r="910">
      <c r="B910" s="7"/>
      <c r="C910" s="25"/>
      <c r="D910" s="9"/>
    </row>
    <row r="911">
      <c r="B911" s="7"/>
      <c r="C911" s="25"/>
      <c r="D911" s="9"/>
    </row>
    <row r="912">
      <c r="B912" s="7"/>
      <c r="C912" s="25"/>
      <c r="D912" s="9"/>
    </row>
    <row r="913">
      <c r="B913" s="7"/>
      <c r="C913" s="25"/>
      <c r="D913" s="9"/>
    </row>
    <row r="914">
      <c r="B914" s="7"/>
      <c r="C914" s="25"/>
      <c r="D914" s="9"/>
    </row>
    <row r="915">
      <c r="B915" s="7"/>
      <c r="C915" s="25"/>
      <c r="D915" s="9"/>
    </row>
    <row r="916">
      <c r="B916" s="7"/>
      <c r="C916" s="25"/>
      <c r="D916" s="9"/>
    </row>
    <row r="917">
      <c r="B917" s="7"/>
      <c r="C917" s="25"/>
      <c r="D917" s="9"/>
    </row>
    <row r="918">
      <c r="B918" s="7"/>
      <c r="C918" s="25"/>
      <c r="D918" s="9"/>
    </row>
    <row r="919">
      <c r="B919" s="7"/>
      <c r="C919" s="25"/>
      <c r="D919" s="9"/>
    </row>
    <row r="920">
      <c r="B920" s="7"/>
      <c r="C920" s="25"/>
      <c r="D920" s="9"/>
    </row>
    <row r="921">
      <c r="B921" s="7"/>
      <c r="C921" s="25"/>
      <c r="D921" s="9"/>
    </row>
    <row r="922">
      <c r="B922" s="7"/>
      <c r="C922" s="25"/>
      <c r="D922" s="9"/>
    </row>
    <row r="923">
      <c r="B923" s="7"/>
      <c r="C923" s="25"/>
      <c r="D923" s="9"/>
    </row>
    <row r="924">
      <c r="B924" s="7"/>
      <c r="C924" s="25"/>
      <c r="D924" s="9"/>
    </row>
    <row r="925">
      <c r="B925" s="7"/>
      <c r="C925" s="25"/>
      <c r="D925" s="9"/>
    </row>
    <row r="926">
      <c r="B926" s="7"/>
      <c r="C926" s="25"/>
      <c r="D926" s="9"/>
    </row>
    <row r="927">
      <c r="B927" s="7"/>
      <c r="C927" s="25"/>
      <c r="D927" s="9"/>
    </row>
    <row r="928">
      <c r="B928" s="7"/>
      <c r="C928" s="25"/>
      <c r="D928" s="9"/>
    </row>
    <row r="929">
      <c r="B929" s="7"/>
      <c r="C929" s="25"/>
      <c r="D929" s="9"/>
    </row>
    <row r="930">
      <c r="B930" s="7"/>
      <c r="C930" s="25"/>
      <c r="D930" s="9"/>
    </row>
    <row r="931">
      <c r="B931" s="7"/>
      <c r="C931" s="25"/>
      <c r="D931" s="9"/>
    </row>
    <row r="932">
      <c r="B932" s="7"/>
      <c r="C932" s="25"/>
      <c r="D932" s="9"/>
    </row>
    <row r="933">
      <c r="B933" s="7"/>
      <c r="C933" s="25"/>
      <c r="D933" s="9"/>
    </row>
    <row r="934">
      <c r="B934" s="7"/>
      <c r="C934" s="25"/>
      <c r="D934" s="9"/>
    </row>
    <row r="935">
      <c r="B935" s="7"/>
      <c r="C935" s="25"/>
      <c r="D935" s="9"/>
    </row>
    <row r="936">
      <c r="B936" s="7"/>
      <c r="C936" s="25"/>
      <c r="D936" s="9"/>
    </row>
    <row r="937">
      <c r="B937" s="7"/>
      <c r="C937" s="25"/>
      <c r="D937" s="9"/>
    </row>
    <row r="938">
      <c r="B938" s="7"/>
      <c r="C938" s="25"/>
      <c r="D938" s="9"/>
    </row>
    <row r="939">
      <c r="B939" s="7"/>
      <c r="C939" s="25"/>
      <c r="D939" s="9"/>
    </row>
    <row r="940">
      <c r="B940" s="7"/>
      <c r="C940" s="25"/>
      <c r="D940" s="9"/>
    </row>
    <row r="941">
      <c r="B941" s="7"/>
      <c r="C941" s="25"/>
      <c r="D941" s="9"/>
    </row>
    <row r="942">
      <c r="B942" s="7"/>
      <c r="C942" s="25"/>
      <c r="D942" s="9"/>
    </row>
    <row r="943">
      <c r="B943" s="7"/>
      <c r="C943" s="25"/>
      <c r="D943" s="9"/>
    </row>
    <row r="944">
      <c r="B944" s="7"/>
      <c r="C944" s="25"/>
      <c r="D944" s="9"/>
    </row>
    <row r="945">
      <c r="B945" s="7"/>
      <c r="C945" s="25"/>
      <c r="D945" s="9"/>
    </row>
    <row r="946">
      <c r="B946" s="7"/>
      <c r="C946" s="25"/>
      <c r="D946" s="9"/>
    </row>
    <row r="947">
      <c r="B947" s="7"/>
      <c r="C947" s="25"/>
      <c r="D947" s="9"/>
    </row>
    <row r="948">
      <c r="B948" s="7"/>
      <c r="C948" s="25"/>
      <c r="D948" s="9"/>
    </row>
    <row r="949">
      <c r="B949" s="7"/>
      <c r="C949" s="25"/>
      <c r="D949" s="9"/>
    </row>
    <row r="950">
      <c r="B950" s="7"/>
      <c r="C950" s="25"/>
      <c r="D950" s="9"/>
    </row>
    <row r="951">
      <c r="B951" s="7"/>
      <c r="C951" s="25"/>
      <c r="D951" s="9"/>
    </row>
    <row r="952">
      <c r="B952" s="7"/>
      <c r="C952" s="25"/>
      <c r="D952" s="9"/>
    </row>
    <row r="953">
      <c r="B953" s="7"/>
      <c r="C953" s="25"/>
      <c r="D953" s="9"/>
    </row>
    <row r="954">
      <c r="B954" s="7"/>
      <c r="C954" s="25"/>
      <c r="D954" s="9"/>
    </row>
    <row r="955">
      <c r="B955" s="7"/>
      <c r="C955" s="25"/>
      <c r="D955" s="9"/>
    </row>
    <row r="956">
      <c r="B956" s="7"/>
      <c r="C956" s="25"/>
      <c r="D956" s="9"/>
    </row>
    <row r="957">
      <c r="B957" s="7"/>
      <c r="C957" s="25"/>
      <c r="D957" s="9"/>
    </row>
    <row r="958">
      <c r="B958" s="7"/>
      <c r="C958" s="25"/>
      <c r="D958" s="9"/>
    </row>
    <row r="959">
      <c r="B959" s="7"/>
      <c r="C959" s="25"/>
      <c r="D959" s="9"/>
    </row>
    <row r="960">
      <c r="B960" s="7"/>
      <c r="C960" s="25"/>
      <c r="D960" s="9"/>
    </row>
    <row r="961">
      <c r="B961" s="7"/>
      <c r="C961" s="25"/>
      <c r="D961" s="9"/>
    </row>
    <row r="962">
      <c r="B962" s="7"/>
      <c r="C962" s="25"/>
      <c r="D962" s="9"/>
    </row>
    <row r="963">
      <c r="B963" s="7"/>
      <c r="C963" s="25"/>
      <c r="D963" s="9"/>
    </row>
    <row r="964">
      <c r="B964" s="7"/>
      <c r="C964" s="25"/>
      <c r="D964" s="9"/>
    </row>
    <row r="965">
      <c r="B965" s="7"/>
      <c r="C965" s="25"/>
      <c r="D965" s="9"/>
    </row>
    <row r="966">
      <c r="B966" s="7"/>
      <c r="C966" s="25"/>
      <c r="D966" s="9"/>
    </row>
    <row r="967">
      <c r="B967" s="7"/>
      <c r="C967" s="25"/>
      <c r="D967" s="9"/>
    </row>
    <row r="968">
      <c r="B968" s="7"/>
      <c r="C968" s="25"/>
      <c r="D968" s="9"/>
    </row>
    <row r="969">
      <c r="B969" s="7"/>
      <c r="C969" s="25"/>
      <c r="D969" s="9"/>
    </row>
    <row r="970">
      <c r="B970" s="7"/>
      <c r="C970" s="25"/>
      <c r="D970" s="9"/>
    </row>
    <row r="971">
      <c r="B971" s="7"/>
      <c r="C971" s="25"/>
      <c r="D971" s="9"/>
    </row>
    <row r="972">
      <c r="B972" s="7"/>
      <c r="C972" s="25"/>
      <c r="D972" s="9"/>
    </row>
    <row r="973">
      <c r="B973" s="7"/>
      <c r="C973" s="25"/>
      <c r="D973" s="9"/>
    </row>
    <row r="974">
      <c r="B974" s="7"/>
      <c r="C974" s="25"/>
      <c r="D974" s="9"/>
    </row>
    <row r="975">
      <c r="B975" s="7"/>
      <c r="C975" s="25"/>
      <c r="D975" s="9"/>
    </row>
    <row r="976">
      <c r="B976" s="7"/>
      <c r="C976" s="25"/>
      <c r="D976" s="9"/>
    </row>
    <row r="977">
      <c r="B977" s="7"/>
      <c r="C977" s="25"/>
      <c r="D977" s="9"/>
    </row>
    <row r="978">
      <c r="B978" s="7"/>
      <c r="C978" s="25"/>
      <c r="D978" s="9"/>
    </row>
    <row r="979">
      <c r="B979" s="7"/>
      <c r="C979" s="25"/>
      <c r="D979" s="9"/>
    </row>
    <row r="980">
      <c r="B980" s="7"/>
      <c r="C980" s="25"/>
      <c r="D980" s="9"/>
    </row>
    <row r="981">
      <c r="B981" s="7"/>
      <c r="C981" s="25"/>
      <c r="D981" s="9"/>
    </row>
    <row r="982">
      <c r="B982" s="7"/>
      <c r="C982" s="25"/>
      <c r="D982" s="9"/>
    </row>
    <row r="983">
      <c r="B983" s="7"/>
      <c r="C983" s="25"/>
      <c r="D983" s="9"/>
    </row>
    <row r="984">
      <c r="B984" s="7"/>
      <c r="C984" s="25"/>
      <c r="D984" s="9"/>
    </row>
    <row r="985">
      <c r="B985" s="7"/>
      <c r="C985" s="25"/>
      <c r="D985" s="9"/>
    </row>
    <row r="986">
      <c r="B986" s="7"/>
      <c r="C986" s="25"/>
      <c r="D986" s="9"/>
    </row>
    <row r="987">
      <c r="B987" s="7"/>
      <c r="C987" s="25"/>
      <c r="D987" s="9"/>
    </row>
    <row r="988">
      <c r="B988" s="7"/>
      <c r="C988" s="25"/>
      <c r="D988" s="9"/>
    </row>
    <row r="989">
      <c r="B989" s="7"/>
      <c r="C989" s="25"/>
      <c r="D989" s="9"/>
    </row>
    <row r="990">
      <c r="B990" s="7"/>
      <c r="C990" s="25"/>
      <c r="D990" s="9"/>
    </row>
    <row r="991">
      <c r="B991" s="7"/>
      <c r="C991" s="25"/>
      <c r="D991" s="9"/>
    </row>
    <row r="992">
      <c r="B992" s="7"/>
      <c r="C992" s="25"/>
      <c r="D992" s="9"/>
    </row>
    <row r="993">
      <c r="B993" s="7"/>
      <c r="C993" s="25"/>
      <c r="D993" s="9"/>
    </row>
    <row r="994">
      <c r="B994" s="7"/>
      <c r="C994" s="25"/>
      <c r="D994" s="9"/>
    </row>
    <row r="995">
      <c r="B995" s="7"/>
      <c r="C995" s="25"/>
      <c r="D995" s="9"/>
    </row>
    <row r="996">
      <c r="B996" s="7"/>
      <c r="C996" s="25"/>
      <c r="D996" s="9"/>
    </row>
    <row r="997">
      <c r="B997" s="7"/>
      <c r="C997" s="25"/>
      <c r="D997" s="9"/>
    </row>
    <row r="998">
      <c r="B998" s="7"/>
      <c r="C998" s="25"/>
      <c r="D998" s="9"/>
    </row>
    <row r="999">
      <c r="B999" s="7"/>
      <c r="C999" s="25"/>
      <c r="D999" s="9"/>
    </row>
    <row r="1000">
      <c r="B1000" s="7"/>
      <c r="C1000" s="25"/>
      <c r="D1000" s="9"/>
    </row>
    <row r="1001">
      <c r="B1001" s="7"/>
      <c r="C1001" s="25"/>
      <c r="D1001" s="9"/>
    </row>
    <row r="1002">
      <c r="B1002" s="7"/>
      <c r="C1002" s="25"/>
      <c r="D1002" s="9"/>
    </row>
    <row r="1003">
      <c r="B1003" s="7"/>
      <c r="C1003" s="25"/>
      <c r="D1003" s="9"/>
    </row>
    <row r="1004">
      <c r="B1004" s="7"/>
      <c r="C1004" s="25"/>
      <c r="D1004" s="9"/>
    </row>
    <row r="1005">
      <c r="B1005" s="7"/>
      <c r="C1005" s="25"/>
      <c r="D1005" s="9"/>
    </row>
    <row r="1006">
      <c r="B1006" s="7"/>
      <c r="C1006" s="25"/>
      <c r="D1006" s="9"/>
    </row>
    <row r="1007">
      <c r="B1007" s="7"/>
      <c r="C1007" s="25"/>
      <c r="D1007" s="9"/>
    </row>
    <row r="1008">
      <c r="B1008" s="7"/>
      <c r="C1008" s="25"/>
      <c r="D1008" s="9"/>
    </row>
    <row r="1009">
      <c r="B1009" s="7"/>
      <c r="C1009" s="25"/>
      <c r="D1009" s="9"/>
    </row>
    <row r="1010">
      <c r="B1010" s="7"/>
      <c r="C1010" s="25"/>
      <c r="D1010" s="9"/>
    </row>
    <row r="1011">
      <c r="B1011" s="7"/>
      <c r="C1011" s="25"/>
      <c r="D1011" s="9"/>
    </row>
    <row r="1012">
      <c r="B1012" s="7"/>
      <c r="C1012" s="25"/>
      <c r="D1012" s="9"/>
    </row>
    <row r="1013">
      <c r="B1013" s="7"/>
      <c r="C1013" s="25"/>
      <c r="D1013" s="9"/>
    </row>
    <row r="1014">
      <c r="B1014" s="7"/>
      <c r="C1014" s="25"/>
      <c r="D1014" s="9"/>
    </row>
    <row r="1015">
      <c r="B1015" s="7"/>
      <c r="C1015" s="25"/>
      <c r="D1015" s="9"/>
    </row>
    <row r="1016">
      <c r="B1016" s="7"/>
      <c r="C1016" s="25"/>
      <c r="D1016" s="9"/>
    </row>
    <row r="1017">
      <c r="B1017" s="7"/>
      <c r="C1017" s="25"/>
      <c r="D1017" s="9"/>
    </row>
    <row r="1018">
      <c r="B1018" s="7"/>
      <c r="C1018" s="25"/>
      <c r="D1018" s="9"/>
    </row>
    <row r="1019">
      <c r="B1019" s="7"/>
      <c r="C1019" s="25"/>
      <c r="D1019" s="9"/>
    </row>
    <row r="1020">
      <c r="B1020" s="7"/>
      <c r="C1020" s="25"/>
      <c r="D1020" s="9"/>
    </row>
    <row r="1021">
      <c r="B1021" s="7"/>
      <c r="C1021" s="25"/>
      <c r="D1021" s="9"/>
    </row>
    <row r="1022">
      <c r="B1022" s="7"/>
      <c r="C1022" s="25"/>
      <c r="D1022" s="9"/>
    </row>
    <row r="1023">
      <c r="B1023" s="7"/>
      <c r="C1023" s="25"/>
      <c r="D1023" s="9"/>
    </row>
    <row r="1024">
      <c r="B1024" s="7"/>
      <c r="C1024" s="25"/>
      <c r="D1024" s="9"/>
    </row>
    <row r="1025">
      <c r="B1025" s="7"/>
      <c r="C1025" s="25"/>
      <c r="D1025" s="9"/>
    </row>
    <row r="1026">
      <c r="B1026" s="7"/>
      <c r="C1026" s="25"/>
      <c r="D1026" s="9"/>
    </row>
    <row r="1027">
      <c r="B1027" s="7"/>
      <c r="C1027" s="25"/>
      <c r="D1027" s="9"/>
    </row>
    <row r="1028">
      <c r="B1028" s="7"/>
      <c r="C1028" s="25"/>
      <c r="D1028" s="9"/>
    </row>
    <row r="1029">
      <c r="B1029" s="7"/>
      <c r="C1029" s="25"/>
      <c r="D1029" s="9"/>
    </row>
    <row r="1030">
      <c r="B1030" s="7"/>
      <c r="C1030" s="25"/>
      <c r="D1030" s="9"/>
    </row>
    <row r="1031">
      <c r="B1031" s="7"/>
      <c r="C1031" s="25"/>
      <c r="D1031" s="9"/>
    </row>
    <row r="1032">
      <c r="B1032" s="7"/>
      <c r="C1032" s="25"/>
      <c r="D1032" s="9"/>
    </row>
    <row r="1033">
      <c r="B1033" s="7"/>
      <c r="C1033" s="25"/>
      <c r="D1033" s="9"/>
    </row>
    <row r="1034">
      <c r="B1034" s="7"/>
      <c r="C1034" s="25"/>
      <c r="D1034" s="9"/>
    </row>
    <row r="1035">
      <c r="B1035" s="7"/>
      <c r="C1035" s="25"/>
      <c r="D1035" s="9"/>
    </row>
    <row r="1036">
      <c r="B1036" s="7"/>
      <c r="C1036" s="25"/>
      <c r="D1036" s="9"/>
    </row>
    <row r="1037">
      <c r="B1037" s="7"/>
      <c r="C1037" s="25"/>
      <c r="D1037" s="9"/>
    </row>
    <row r="1038">
      <c r="B1038" s="7"/>
      <c r="C1038" s="25"/>
      <c r="D1038" s="9"/>
    </row>
    <row r="1039">
      <c r="B1039" s="7"/>
      <c r="C1039" s="25"/>
      <c r="D1039" s="9"/>
    </row>
    <row r="1040">
      <c r="B1040" s="7"/>
      <c r="C1040" s="25"/>
      <c r="D1040" s="9"/>
    </row>
    <row r="1041">
      <c r="B1041" s="7"/>
      <c r="C1041" s="25"/>
      <c r="D1041" s="9"/>
    </row>
    <row r="1042">
      <c r="B1042" s="7"/>
      <c r="C1042" s="25"/>
      <c r="D1042" s="9"/>
    </row>
    <row r="1043">
      <c r="B1043" s="7"/>
      <c r="C1043" s="25"/>
      <c r="D1043" s="9"/>
    </row>
    <row r="1044">
      <c r="B1044" s="7"/>
      <c r="C1044" s="25"/>
      <c r="D1044" s="9"/>
    </row>
    <row r="1045">
      <c r="B1045" s="7"/>
      <c r="C1045" s="25"/>
      <c r="D1045" s="9"/>
    </row>
    <row r="1046">
      <c r="B1046" s="7"/>
      <c r="C1046" s="25"/>
      <c r="D1046" s="9"/>
    </row>
    <row r="1047">
      <c r="B1047" s="7"/>
      <c r="C1047" s="25"/>
      <c r="D1047" s="9"/>
    </row>
    <row r="1048">
      <c r="B1048" s="7"/>
      <c r="C1048" s="25"/>
      <c r="D1048" s="9"/>
    </row>
    <row r="1049">
      <c r="B1049" s="7"/>
      <c r="C1049" s="25"/>
      <c r="D1049" s="9"/>
    </row>
    <row r="1050">
      <c r="B1050" s="7"/>
      <c r="C1050" s="25"/>
      <c r="D1050" s="9"/>
    </row>
    <row r="1051">
      <c r="B1051" s="7"/>
      <c r="C1051" s="25"/>
      <c r="D1051" s="9"/>
    </row>
    <row r="1052">
      <c r="B1052" s="7"/>
      <c r="C1052" s="25"/>
      <c r="D1052" s="9"/>
    </row>
    <row r="1053">
      <c r="B1053" s="7"/>
      <c r="C1053" s="25"/>
      <c r="D1053" s="9"/>
    </row>
    <row r="1054">
      <c r="B1054" s="7"/>
      <c r="C1054" s="25"/>
      <c r="D1054" s="9"/>
    </row>
    <row r="1055">
      <c r="B1055" s="7"/>
      <c r="C1055" s="25"/>
      <c r="D1055" s="9"/>
    </row>
    <row r="1056">
      <c r="B1056" s="7"/>
      <c r="C1056" s="25"/>
      <c r="D1056" s="9"/>
    </row>
    <row r="1057">
      <c r="B1057" s="7"/>
      <c r="C1057" s="25"/>
      <c r="D1057" s="9"/>
    </row>
    <row r="1058">
      <c r="B1058" s="7"/>
      <c r="C1058" s="25"/>
      <c r="D1058" s="9"/>
    </row>
    <row r="1059">
      <c r="B1059" s="7"/>
      <c r="C1059" s="25"/>
      <c r="D1059" s="9"/>
    </row>
    <row r="1060">
      <c r="B1060" s="7"/>
      <c r="C1060" s="25"/>
      <c r="D1060" s="9"/>
    </row>
    <row r="1061">
      <c r="B1061" s="7"/>
      <c r="C1061" s="25"/>
      <c r="D1061" s="9"/>
    </row>
    <row r="1062">
      <c r="B1062" s="7"/>
      <c r="C1062" s="25"/>
      <c r="D1062" s="9"/>
    </row>
    <row r="1063">
      <c r="B1063" s="7"/>
      <c r="C1063" s="25"/>
      <c r="D1063" s="9"/>
    </row>
    <row r="1064">
      <c r="B1064" s="7"/>
      <c r="C1064" s="25"/>
      <c r="D1064" s="9"/>
    </row>
    <row r="1065">
      <c r="B1065" s="7"/>
      <c r="C1065" s="25"/>
      <c r="D1065" s="9"/>
    </row>
    <row r="1066">
      <c r="B1066" s="7"/>
      <c r="C1066" s="25"/>
      <c r="D1066" s="9"/>
    </row>
    <row r="1067">
      <c r="B1067" s="7"/>
      <c r="C1067" s="25"/>
      <c r="D1067" s="9"/>
    </row>
    <row r="1068">
      <c r="B1068" s="7"/>
      <c r="C1068" s="25"/>
      <c r="D1068" s="9"/>
    </row>
    <row r="1069">
      <c r="B1069" s="7"/>
      <c r="C1069" s="25"/>
      <c r="D1069" s="9"/>
    </row>
    <row r="1070">
      <c r="B1070" s="7"/>
      <c r="C1070" s="25"/>
      <c r="D1070" s="9"/>
    </row>
    <row r="1071">
      <c r="B1071" s="7"/>
      <c r="C1071" s="25"/>
      <c r="D1071" s="9"/>
    </row>
    <row r="1072">
      <c r="B1072" s="7"/>
      <c r="C1072" s="25"/>
      <c r="D1072" s="9"/>
    </row>
    <row r="1073">
      <c r="B1073" s="7"/>
      <c r="C1073" s="25"/>
      <c r="D1073" s="9"/>
    </row>
    <row r="1074">
      <c r="B1074" s="7"/>
      <c r="C1074" s="25"/>
      <c r="D1074" s="9"/>
    </row>
    <row r="1075">
      <c r="B1075" s="7"/>
      <c r="C1075" s="25"/>
      <c r="D1075" s="9"/>
    </row>
    <row r="1076">
      <c r="B1076" s="7"/>
      <c r="C1076" s="25"/>
      <c r="D1076" s="9"/>
    </row>
    <row r="1077">
      <c r="B1077" s="7"/>
      <c r="C1077" s="25"/>
      <c r="D1077" s="9"/>
    </row>
    <row r="1078">
      <c r="B1078" s="7"/>
      <c r="C1078" s="25"/>
      <c r="D1078" s="9"/>
    </row>
    <row r="1079">
      <c r="B1079" s="7"/>
      <c r="C1079" s="25"/>
      <c r="D1079" s="9"/>
    </row>
    <row r="1080">
      <c r="B1080" s="7"/>
      <c r="C1080" s="25"/>
      <c r="D1080" s="9"/>
    </row>
    <row r="1081">
      <c r="B1081" s="7"/>
      <c r="C1081" s="25"/>
      <c r="D1081" s="9"/>
    </row>
    <row r="1082">
      <c r="B1082" s="7"/>
      <c r="C1082" s="25"/>
      <c r="D1082" s="9"/>
    </row>
    <row r="1083">
      <c r="B1083" s="7"/>
      <c r="C1083" s="25"/>
      <c r="D1083" s="9"/>
    </row>
    <row r="1084">
      <c r="B1084" s="7"/>
      <c r="C1084" s="25"/>
      <c r="D1084" s="9"/>
    </row>
    <row r="1085">
      <c r="B1085" s="7"/>
      <c r="C1085" s="25"/>
      <c r="D1085" s="9"/>
    </row>
    <row r="1086">
      <c r="B1086" s="7"/>
      <c r="C1086" s="25"/>
      <c r="D1086" s="9"/>
    </row>
    <row r="1087">
      <c r="B1087" s="7"/>
      <c r="C1087" s="25"/>
      <c r="D1087" s="9"/>
    </row>
    <row r="1088">
      <c r="B1088" s="7"/>
      <c r="C1088" s="25"/>
      <c r="D1088" s="9"/>
    </row>
    <row r="1089">
      <c r="B1089" s="7"/>
      <c r="C1089" s="25"/>
      <c r="D1089" s="9"/>
    </row>
    <row r="1090">
      <c r="B1090" s="7"/>
      <c r="C1090" s="25"/>
      <c r="D1090" s="9"/>
    </row>
    <row r="1091">
      <c r="B1091" s="7"/>
      <c r="C1091" s="25"/>
      <c r="D1091" s="9"/>
    </row>
    <row r="1092">
      <c r="B1092" s="7"/>
      <c r="C1092" s="25"/>
      <c r="D1092" s="9"/>
    </row>
    <row r="1093">
      <c r="B1093" s="7"/>
      <c r="C1093" s="25"/>
      <c r="D1093" s="9"/>
    </row>
    <row r="1094">
      <c r="B1094" s="7"/>
      <c r="C1094" s="25"/>
      <c r="D1094" s="9"/>
    </row>
    <row r="1095">
      <c r="B1095" s="7"/>
      <c r="C1095" s="25"/>
      <c r="D1095" s="9"/>
    </row>
    <row r="1096">
      <c r="B1096" s="7"/>
      <c r="C1096" s="25"/>
      <c r="D1096" s="9"/>
    </row>
    <row r="1097">
      <c r="B1097" s="7"/>
      <c r="C1097" s="25"/>
      <c r="D1097" s="9"/>
    </row>
    <row r="1098">
      <c r="B1098" s="7"/>
      <c r="C1098" s="25"/>
      <c r="D1098" s="9"/>
    </row>
    <row r="1099">
      <c r="B1099" s="7"/>
      <c r="C1099" s="25"/>
      <c r="D1099" s="9"/>
    </row>
    <row r="1100">
      <c r="B1100" s="7"/>
      <c r="C1100" s="25"/>
      <c r="D1100" s="9"/>
    </row>
    <row r="1101">
      <c r="B1101" s="7"/>
      <c r="C1101" s="25"/>
      <c r="D1101" s="9"/>
    </row>
    <row r="1102">
      <c r="B1102" s="7"/>
      <c r="C1102" s="25"/>
      <c r="D1102" s="9"/>
    </row>
    <row r="1103">
      <c r="B1103" s="7"/>
      <c r="C1103" s="25"/>
      <c r="D1103" s="9"/>
    </row>
    <row r="1104">
      <c r="B1104" s="7"/>
      <c r="C1104" s="25"/>
      <c r="D1104" s="9"/>
    </row>
    <row r="1105">
      <c r="B1105" s="7"/>
      <c r="C1105" s="25"/>
      <c r="D1105" s="9"/>
    </row>
    <row r="1106">
      <c r="B1106" s="7"/>
      <c r="C1106" s="25"/>
      <c r="D1106" s="9"/>
    </row>
    <row r="1107">
      <c r="B1107" s="7"/>
      <c r="C1107" s="25"/>
      <c r="D1107" s="9"/>
    </row>
    <row r="1108">
      <c r="B1108" s="7"/>
      <c r="C1108" s="25"/>
      <c r="D1108" s="9"/>
    </row>
    <row r="1109">
      <c r="B1109" s="7"/>
      <c r="C1109" s="25"/>
      <c r="D1109" s="9"/>
    </row>
    <row r="1110">
      <c r="B1110" s="7"/>
      <c r="C1110" s="25"/>
      <c r="D1110" s="9"/>
    </row>
    <row r="1111">
      <c r="B1111" s="7"/>
      <c r="C1111" s="25"/>
      <c r="D1111" s="9"/>
    </row>
    <row r="1112">
      <c r="B1112" s="7"/>
      <c r="C1112" s="25"/>
      <c r="D1112" s="9"/>
    </row>
    <row r="1113">
      <c r="B1113" s="7"/>
      <c r="C1113" s="25"/>
      <c r="D1113" s="9"/>
    </row>
    <row r="1114">
      <c r="B1114" s="7"/>
      <c r="C1114" s="25"/>
      <c r="D1114" s="9"/>
    </row>
    <row r="1115">
      <c r="B1115" s="7"/>
      <c r="C1115" s="25"/>
      <c r="D1115" s="9"/>
    </row>
    <row r="1116">
      <c r="B1116" s="7"/>
      <c r="C1116" s="25"/>
      <c r="D1116" s="9"/>
    </row>
    <row r="1117">
      <c r="B1117" s="7"/>
      <c r="C1117" s="25"/>
      <c r="D1117" s="9"/>
    </row>
    <row r="1118">
      <c r="B1118" s="7"/>
      <c r="C1118" s="25"/>
      <c r="D1118" s="9"/>
    </row>
    <row r="1119">
      <c r="B1119" s="7"/>
      <c r="C1119" s="25"/>
      <c r="D1119" s="9"/>
    </row>
    <row r="1120">
      <c r="B1120" s="7"/>
      <c r="C1120" s="25"/>
      <c r="D1120" s="9"/>
    </row>
    <row r="1121">
      <c r="B1121" s="7"/>
      <c r="C1121" s="25"/>
      <c r="D1121" s="9"/>
    </row>
    <row r="1122">
      <c r="B1122" s="7"/>
      <c r="C1122" s="25"/>
      <c r="D1122" s="9"/>
    </row>
    <row r="1123">
      <c r="B1123" s="7"/>
      <c r="C1123" s="25"/>
      <c r="D1123" s="9"/>
    </row>
    <row r="1124">
      <c r="B1124" s="7"/>
      <c r="C1124" s="25"/>
      <c r="D1124" s="9"/>
    </row>
    <row r="1125">
      <c r="B1125" s="7"/>
      <c r="C1125" s="25"/>
      <c r="D1125" s="9"/>
    </row>
    <row r="1126">
      <c r="B1126" s="7"/>
      <c r="C1126" s="25"/>
      <c r="D1126" s="9"/>
    </row>
    <row r="1127">
      <c r="B1127" s="7"/>
      <c r="C1127" s="25"/>
      <c r="D1127" s="9"/>
    </row>
    <row r="1128">
      <c r="B1128" s="7"/>
      <c r="C1128" s="25"/>
      <c r="D1128" s="9"/>
    </row>
    <row r="1129">
      <c r="B1129" s="7"/>
      <c r="C1129" s="25"/>
      <c r="D1129" s="9"/>
    </row>
    <row r="1130">
      <c r="B1130" s="7"/>
      <c r="C1130" s="25"/>
      <c r="D1130" s="9"/>
    </row>
    <row r="1131">
      <c r="B1131" s="7"/>
      <c r="C1131" s="25"/>
      <c r="D1131" s="9"/>
    </row>
    <row r="1132">
      <c r="B1132" s="7"/>
      <c r="C1132" s="25"/>
      <c r="D1132" s="9"/>
    </row>
    <row r="1133">
      <c r="B1133" s="7"/>
      <c r="C1133" s="25"/>
      <c r="D1133" s="9"/>
    </row>
    <row r="1134">
      <c r="B1134" s="7"/>
      <c r="C1134" s="25"/>
      <c r="D1134" s="9"/>
    </row>
    <row r="1135">
      <c r="B1135" s="7"/>
      <c r="C1135" s="25"/>
      <c r="D1135" s="9"/>
    </row>
    <row r="1136">
      <c r="B1136" s="7"/>
      <c r="C1136" s="25"/>
      <c r="D1136" s="9"/>
    </row>
    <row r="1137">
      <c r="B1137" s="7"/>
      <c r="C1137" s="25"/>
      <c r="D1137" s="9"/>
    </row>
    <row r="1138">
      <c r="B1138" s="7"/>
      <c r="C1138" s="25"/>
      <c r="D1138" s="9"/>
    </row>
    <row r="1139">
      <c r="B1139" s="7"/>
      <c r="C1139" s="25"/>
      <c r="D1139" s="9"/>
    </row>
    <row r="1140">
      <c r="B1140" s="7"/>
      <c r="C1140" s="25"/>
      <c r="D1140" s="9"/>
    </row>
    <row r="1141">
      <c r="B1141" s="7"/>
      <c r="C1141" s="25"/>
      <c r="D1141" s="9"/>
    </row>
    <row r="1142">
      <c r="B1142" s="7"/>
      <c r="C1142" s="25"/>
      <c r="D1142" s="9"/>
    </row>
    <row r="1143">
      <c r="B1143" s="7"/>
      <c r="C1143" s="25"/>
      <c r="D1143" s="9"/>
    </row>
    <row r="1144">
      <c r="B1144" s="7"/>
      <c r="C1144" s="25"/>
      <c r="D1144" s="9"/>
    </row>
    <row r="1145">
      <c r="B1145" s="7"/>
      <c r="C1145" s="25"/>
      <c r="D1145" s="9"/>
    </row>
    <row r="1146">
      <c r="B1146" s="7"/>
      <c r="C1146" s="25"/>
      <c r="D1146" s="9"/>
    </row>
    <row r="1147">
      <c r="B1147" s="7"/>
      <c r="C1147" s="25"/>
      <c r="D1147" s="9"/>
    </row>
    <row r="1148">
      <c r="B1148" s="7"/>
      <c r="C1148" s="25"/>
      <c r="D1148" s="9"/>
    </row>
    <row r="1149">
      <c r="B1149" s="7"/>
      <c r="C1149" s="25"/>
      <c r="D1149" s="9"/>
    </row>
    <row r="1150">
      <c r="B1150" s="7"/>
      <c r="C1150" s="25"/>
      <c r="D1150" s="9"/>
    </row>
    <row r="1151">
      <c r="B1151" s="7"/>
      <c r="C1151" s="25"/>
      <c r="D1151" s="9"/>
    </row>
    <row r="1152">
      <c r="B1152" s="7"/>
      <c r="C1152" s="25"/>
      <c r="D1152" s="9"/>
    </row>
    <row r="1153">
      <c r="B1153" s="7"/>
      <c r="C1153" s="25"/>
      <c r="D1153" s="9"/>
    </row>
    <row r="1154">
      <c r="B1154" s="7"/>
      <c r="C1154" s="25"/>
      <c r="D1154" s="9"/>
    </row>
    <row r="1155">
      <c r="B1155" s="7"/>
      <c r="C1155" s="25"/>
      <c r="D1155" s="9"/>
    </row>
    <row r="1156">
      <c r="B1156" s="7"/>
      <c r="C1156" s="25"/>
      <c r="D1156" s="9"/>
    </row>
    <row r="1157">
      <c r="B1157" s="7"/>
      <c r="C1157" s="25"/>
      <c r="D1157" s="9"/>
    </row>
    <row r="1158">
      <c r="B1158" s="7"/>
      <c r="C1158" s="25"/>
      <c r="D1158" s="9"/>
    </row>
    <row r="1159">
      <c r="B1159" s="7"/>
      <c r="C1159" s="25"/>
      <c r="D1159" s="9"/>
    </row>
    <row r="1160">
      <c r="B1160" s="7"/>
      <c r="C1160" s="25"/>
      <c r="D1160" s="9"/>
    </row>
    <row r="1161">
      <c r="B1161" s="7"/>
      <c r="C1161" s="25"/>
      <c r="D1161" s="9"/>
    </row>
    <row r="1162">
      <c r="B1162" s="7"/>
      <c r="C1162" s="25"/>
      <c r="D1162" s="9"/>
    </row>
    <row r="1163">
      <c r="B1163" s="7"/>
      <c r="C1163" s="25"/>
      <c r="D1163" s="9"/>
    </row>
    <row r="1164">
      <c r="B1164" s="7"/>
      <c r="C1164" s="25"/>
      <c r="D1164" s="9"/>
    </row>
    <row r="1165">
      <c r="B1165" s="7"/>
      <c r="C1165" s="25"/>
      <c r="D1165" s="9"/>
    </row>
    <row r="1166">
      <c r="B1166" s="7"/>
      <c r="C1166" s="25"/>
      <c r="D1166" s="9"/>
    </row>
    <row r="1167">
      <c r="B1167" s="7"/>
      <c r="C1167" s="25"/>
      <c r="D1167" s="9"/>
    </row>
    <row r="1168">
      <c r="B1168" s="7"/>
      <c r="C1168" s="25"/>
      <c r="D1168" s="9"/>
    </row>
    <row r="1169">
      <c r="B1169" s="7"/>
      <c r="C1169" s="25"/>
      <c r="D1169" s="9"/>
    </row>
    <row r="1170">
      <c r="B1170" s="7"/>
      <c r="C1170" s="25"/>
      <c r="D1170" s="9"/>
    </row>
    <row r="1171">
      <c r="B1171" s="7"/>
      <c r="C1171" s="25"/>
      <c r="D1171" s="9"/>
    </row>
    <row r="1172">
      <c r="B1172" s="7"/>
      <c r="C1172" s="25"/>
      <c r="D1172" s="9"/>
    </row>
    <row r="1173">
      <c r="B1173" s="7"/>
      <c r="C1173" s="25"/>
      <c r="D1173" s="9"/>
    </row>
    <row r="1174">
      <c r="B1174" s="7"/>
      <c r="C1174" s="25"/>
      <c r="D1174" s="9"/>
    </row>
    <row r="1175">
      <c r="B1175" s="7"/>
      <c r="C1175" s="25"/>
      <c r="D1175" s="9"/>
    </row>
    <row r="1176">
      <c r="B1176" s="7"/>
      <c r="C1176" s="25"/>
      <c r="D1176" s="9"/>
    </row>
    <row r="1177">
      <c r="B1177" s="7"/>
      <c r="C1177" s="25"/>
      <c r="D1177" s="9"/>
    </row>
    <row r="1178">
      <c r="B1178" s="7"/>
      <c r="C1178" s="25"/>
      <c r="D1178" s="9"/>
    </row>
    <row r="1179">
      <c r="B1179" s="7"/>
      <c r="C1179" s="25"/>
      <c r="D1179" s="9"/>
    </row>
    <row r="1180">
      <c r="B1180" s="7"/>
      <c r="C1180" s="25"/>
      <c r="D1180" s="9"/>
    </row>
    <row r="1181">
      <c r="B1181" s="7"/>
      <c r="C1181" s="25"/>
      <c r="D1181" s="9"/>
    </row>
    <row r="1182">
      <c r="B1182" s="7"/>
      <c r="C1182" s="25"/>
      <c r="D1182" s="9"/>
    </row>
    <row r="1183">
      <c r="B1183" s="7"/>
      <c r="C1183" s="25"/>
      <c r="D1183" s="9"/>
    </row>
    <row r="1184">
      <c r="B1184" s="7"/>
      <c r="C1184" s="25"/>
      <c r="D1184" s="9"/>
    </row>
    <row r="1185">
      <c r="B1185" s="7"/>
      <c r="C1185" s="25"/>
      <c r="D1185" s="9"/>
    </row>
    <row r="1186">
      <c r="B1186" s="7"/>
      <c r="C1186" s="25"/>
      <c r="D1186" s="9"/>
    </row>
    <row r="1187">
      <c r="B1187" s="7"/>
      <c r="C1187" s="25"/>
      <c r="D1187" s="9"/>
    </row>
    <row r="1188">
      <c r="B1188" s="7"/>
      <c r="C1188" s="25"/>
      <c r="D1188" s="9"/>
    </row>
    <row r="1189">
      <c r="B1189" s="7"/>
      <c r="C1189" s="25"/>
      <c r="D1189" s="9"/>
    </row>
    <row r="1190">
      <c r="B1190" s="7"/>
      <c r="C1190" s="25"/>
      <c r="D1190" s="9"/>
    </row>
    <row r="1191">
      <c r="B1191" s="7"/>
      <c r="C1191" s="25"/>
      <c r="D1191" s="9"/>
    </row>
    <row r="1192">
      <c r="B1192" s="7"/>
      <c r="C1192" s="25"/>
      <c r="D1192" s="9"/>
    </row>
    <row r="1193">
      <c r="B1193" s="7"/>
      <c r="C1193" s="25"/>
      <c r="D1193" s="9"/>
    </row>
    <row r="1194">
      <c r="B1194" s="7"/>
      <c r="C1194" s="25"/>
      <c r="D1194" s="9"/>
    </row>
    <row r="1195">
      <c r="B1195" s="7"/>
      <c r="C1195" s="25"/>
      <c r="D1195" s="9"/>
    </row>
    <row r="1196">
      <c r="B1196" s="7"/>
      <c r="C1196" s="25"/>
      <c r="D1196" s="9"/>
    </row>
    <row r="1197">
      <c r="B1197" s="7"/>
      <c r="C1197" s="25"/>
      <c r="D1197" s="9"/>
    </row>
    <row r="1198">
      <c r="B1198" s="7"/>
      <c r="C1198" s="25"/>
      <c r="D1198" s="9"/>
    </row>
    <row r="1199">
      <c r="B1199" s="7"/>
      <c r="C1199" s="25"/>
      <c r="D1199" s="9"/>
    </row>
    <row r="1200">
      <c r="B1200" s="7"/>
      <c r="C1200" s="25"/>
      <c r="D1200" s="9"/>
    </row>
    <row r="1201">
      <c r="B1201" s="7"/>
      <c r="C1201" s="25"/>
      <c r="D1201" s="9"/>
    </row>
    <row r="1202">
      <c r="B1202" s="7"/>
      <c r="C1202" s="25"/>
      <c r="D1202" s="9"/>
    </row>
    <row r="1203">
      <c r="B1203" s="7"/>
      <c r="C1203" s="25"/>
      <c r="D1203" s="9"/>
    </row>
    <row r="1204">
      <c r="B1204" s="7"/>
      <c r="C1204" s="25"/>
      <c r="D1204" s="9"/>
    </row>
    <row r="1205">
      <c r="B1205" s="7"/>
      <c r="C1205" s="25"/>
      <c r="D1205" s="9"/>
    </row>
    <row r="1206">
      <c r="B1206" s="7"/>
      <c r="C1206" s="25"/>
      <c r="D1206" s="9"/>
    </row>
    <row r="1207">
      <c r="B1207" s="7"/>
      <c r="C1207" s="25"/>
      <c r="D1207" s="9"/>
    </row>
    <row r="1208">
      <c r="B1208" s="7"/>
      <c r="C1208" s="25"/>
      <c r="D1208" s="9"/>
    </row>
    <row r="1209">
      <c r="B1209" s="7"/>
      <c r="C1209" s="25"/>
      <c r="D1209" s="9"/>
    </row>
    <row r="1210">
      <c r="B1210" s="7"/>
      <c r="C1210" s="25"/>
      <c r="D1210" s="9"/>
    </row>
    <row r="1211">
      <c r="B1211" s="7"/>
      <c r="C1211" s="25"/>
      <c r="D1211" s="9"/>
    </row>
    <row r="1212">
      <c r="B1212" s="7"/>
      <c r="C1212" s="25"/>
      <c r="D1212" s="9"/>
    </row>
    <row r="1213">
      <c r="B1213" s="7"/>
      <c r="C1213" s="25"/>
      <c r="D1213" s="9"/>
    </row>
    <row r="1214">
      <c r="B1214" s="7"/>
      <c r="C1214" s="25"/>
      <c r="D1214" s="9"/>
    </row>
    <row r="1215">
      <c r="B1215" s="7"/>
      <c r="C1215" s="25"/>
      <c r="D1215" s="9"/>
    </row>
    <row r="1216">
      <c r="B1216" s="7"/>
      <c r="C1216" s="25"/>
      <c r="D1216" s="9"/>
    </row>
    <row r="1217">
      <c r="B1217" s="7"/>
      <c r="C1217" s="25"/>
      <c r="D1217" s="9"/>
    </row>
    <row r="1218">
      <c r="B1218" s="7"/>
      <c r="C1218" s="25"/>
      <c r="D1218" s="9"/>
    </row>
    <row r="1219">
      <c r="B1219" s="7"/>
      <c r="C1219" s="25"/>
      <c r="D1219" s="9"/>
    </row>
    <row r="1220">
      <c r="B1220" s="7"/>
      <c r="C1220" s="25"/>
      <c r="D1220" s="9"/>
    </row>
    <row r="1221">
      <c r="B1221" s="7"/>
      <c r="C1221" s="25"/>
      <c r="D1221" s="9"/>
    </row>
    <row r="1222">
      <c r="B1222" s="7"/>
      <c r="C1222" s="25"/>
      <c r="D1222" s="9"/>
    </row>
    <row r="1223">
      <c r="B1223" s="7"/>
      <c r="C1223" s="25"/>
      <c r="D1223" s="9"/>
    </row>
    <row r="1224">
      <c r="B1224" s="7"/>
      <c r="C1224" s="25"/>
      <c r="D1224" s="9"/>
    </row>
    <row r="1225">
      <c r="B1225" s="7"/>
      <c r="C1225" s="25"/>
      <c r="D1225" s="9"/>
    </row>
    <row r="1226">
      <c r="B1226" s="7"/>
      <c r="C1226" s="25"/>
      <c r="D1226" s="9"/>
    </row>
    <row r="1227">
      <c r="B1227" s="7"/>
      <c r="C1227" s="25"/>
      <c r="D1227" s="9"/>
    </row>
    <row r="1228">
      <c r="B1228" s="7"/>
      <c r="C1228" s="25"/>
      <c r="D1228" s="9"/>
    </row>
    <row r="1229">
      <c r="B1229" s="7"/>
      <c r="C1229" s="25"/>
      <c r="D1229" s="9"/>
    </row>
    <row r="1230">
      <c r="B1230" s="7"/>
      <c r="C1230" s="25"/>
      <c r="D1230" s="9"/>
    </row>
    <row r="1231">
      <c r="B1231" s="7"/>
      <c r="C1231" s="25"/>
      <c r="D1231" s="9"/>
    </row>
    <row r="1232">
      <c r="B1232" s="7"/>
      <c r="C1232" s="25"/>
      <c r="D1232" s="9"/>
    </row>
    <row r="1233">
      <c r="B1233" s="7"/>
      <c r="C1233" s="25"/>
      <c r="D1233" s="9"/>
    </row>
    <row r="1234">
      <c r="B1234" s="7"/>
      <c r="C1234" s="25"/>
      <c r="D1234" s="9"/>
    </row>
    <row r="1235">
      <c r="B1235" s="7"/>
      <c r="C1235" s="25"/>
      <c r="D1235" s="9"/>
    </row>
    <row r="1236">
      <c r="B1236" s="7"/>
      <c r="C1236" s="25"/>
      <c r="D1236" s="9"/>
    </row>
    <row r="1237">
      <c r="B1237" s="7"/>
      <c r="C1237" s="25"/>
      <c r="D1237" s="9"/>
    </row>
    <row r="1238">
      <c r="B1238" s="7"/>
      <c r="C1238" s="25"/>
      <c r="D1238" s="9"/>
    </row>
    <row r="1239">
      <c r="B1239" s="7"/>
      <c r="C1239" s="25"/>
      <c r="D1239" s="9"/>
    </row>
    <row r="1240">
      <c r="B1240" s="7"/>
      <c r="C1240" s="25"/>
      <c r="D1240" s="9"/>
    </row>
    <row r="1241">
      <c r="B1241" s="7"/>
      <c r="C1241" s="25"/>
      <c r="D1241" s="9"/>
    </row>
    <row r="1242">
      <c r="B1242" s="7"/>
      <c r="C1242" s="25"/>
      <c r="D1242" s="9"/>
    </row>
    <row r="1243">
      <c r="B1243" s="7"/>
      <c r="C1243" s="25"/>
      <c r="D1243" s="9"/>
    </row>
    <row r="1244">
      <c r="B1244" s="7"/>
      <c r="C1244" s="25"/>
      <c r="D1244" s="9"/>
    </row>
    <row r="1245">
      <c r="B1245" s="7"/>
      <c r="C1245" s="25"/>
      <c r="D1245" s="9"/>
    </row>
    <row r="1246">
      <c r="B1246" s="7"/>
      <c r="C1246" s="25"/>
      <c r="D1246" s="9"/>
    </row>
    <row r="1247">
      <c r="B1247" s="7"/>
      <c r="C1247" s="25"/>
      <c r="D1247" s="9"/>
    </row>
    <row r="1248">
      <c r="B1248" s="7"/>
      <c r="C1248" s="25"/>
      <c r="D1248" s="9"/>
    </row>
    <row r="1249">
      <c r="B1249" s="7"/>
      <c r="C1249" s="25"/>
      <c r="D1249" s="9"/>
    </row>
    <row r="1250">
      <c r="B1250" s="7"/>
      <c r="C1250" s="25"/>
      <c r="D1250" s="9"/>
    </row>
    <row r="1251">
      <c r="B1251" s="7"/>
      <c r="C1251" s="25"/>
      <c r="D1251" s="9"/>
    </row>
    <row r="1252">
      <c r="B1252" s="7"/>
      <c r="C1252" s="25"/>
      <c r="D1252" s="9"/>
    </row>
    <row r="1253">
      <c r="B1253" s="7"/>
      <c r="C1253" s="25"/>
      <c r="D1253" s="9"/>
    </row>
    <row r="1254">
      <c r="B1254" s="7"/>
      <c r="C1254" s="25"/>
      <c r="D1254" s="9"/>
    </row>
    <row r="1255">
      <c r="B1255" s="7"/>
      <c r="C1255" s="25"/>
      <c r="D1255" s="9"/>
    </row>
    <row r="1256">
      <c r="B1256" s="7"/>
      <c r="C1256" s="25"/>
      <c r="D1256" s="9"/>
    </row>
    <row r="1257">
      <c r="B1257" s="7"/>
      <c r="C1257" s="25"/>
      <c r="D1257" s="9"/>
    </row>
    <row r="1258">
      <c r="B1258" s="7"/>
      <c r="C1258" s="25"/>
      <c r="D1258" s="9"/>
    </row>
    <row r="1259">
      <c r="B1259" s="7"/>
      <c r="C1259" s="25"/>
      <c r="D1259" s="9"/>
    </row>
    <row r="1260">
      <c r="B1260" s="7"/>
      <c r="C1260" s="25"/>
      <c r="D1260" s="9"/>
    </row>
    <row r="1261">
      <c r="B1261" s="7"/>
      <c r="C1261" s="25"/>
      <c r="D1261" s="9"/>
    </row>
    <row r="1262">
      <c r="B1262" s="7"/>
      <c r="C1262" s="25"/>
      <c r="D1262" s="9"/>
    </row>
    <row r="1263">
      <c r="B1263" s="7"/>
      <c r="C1263" s="25"/>
      <c r="D1263" s="9"/>
    </row>
    <row r="1264">
      <c r="B1264" s="7"/>
      <c r="C1264" s="25"/>
      <c r="D1264" s="9"/>
    </row>
    <row r="1265">
      <c r="B1265" s="7"/>
      <c r="C1265" s="25"/>
      <c r="D1265" s="9"/>
    </row>
    <row r="1266">
      <c r="B1266" s="7"/>
      <c r="C1266" s="25"/>
      <c r="D1266" s="9"/>
    </row>
    <row r="1267">
      <c r="B1267" s="7"/>
      <c r="C1267" s="25"/>
      <c r="D1267" s="9"/>
    </row>
    <row r="1268">
      <c r="B1268" s="7"/>
      <c r="C1268" s="25"/>
      <c r="D1268" s="9"/>
    </row>
    <row r="1269">
      <c r="B1269" s="7"/>
      <c r="C1269" s="25"/>
      <c r="D1269" s="9"/>
    </row>
    <row r="1270">
      <c r="B1270" s="7"/>
      <c r="C1270" s="25"/>
      <c r="D1270" s="9"/>
    </row>
    <row r="1271">
      <c r="B1271" s="7"/>
      <c r="C1271" s="25"/>
      <c r="D1271" s="9"/>
    </row>
    <row r="1272">
      <c r="B1272" s="7"/>
      <c r="C1272" s="25"/>
      <c r="D1272" s="9"/>
    </row>
    <row r="1273">
      <c r="B1273" s="7"/>
      <c r="C1273" s="25"/>
      <c r="D1273" s="9"/>
    </row>
    <row r="1274">
      <c r="B1274" s="7"/>
      <c r="C1274" s="25"/>
      <c r="D1274" s="9"/>
    </row>
    <row r="1275">
      <c r="B1275" s="7"/>
      <c r="C1275" s="25"/>
      <c r="D1275" s="9"/>
    </row>
    <row r="1276">
      <c r="B1276" s="7"/>
      <c r="C1276" s="25"/>
      <c r="D1276" s="9"/>
    </row>
    <row r="1277">
      <c r="B1277" s="7"/>
      <c r="C1277" s="25"/>
      <c r="D1277" s="9"/>
    </row>
    <row r="1278">
      <c r="B1278" s="7"/>
      <c r="C1278" s="25"/>
      <c r="D1278" s="9"/>
    </row>
    <row r="1279">
      <c r="B1279" s="7"/>
      <c r="C1279" s="25"/>
      <c r="D1279" s="9"/>
    </row>
    <row r="1280">
      <c r="B1280" s="7"/>
      <c r="C1280" s="25"/>
      <c r="D1280" s="9"/>
    </row>
    <row r="1281">
      <c r="B1281" s="7"/>
      <c r="C1281" s="25"/>
      <c r="D1281" s="9"/>
    </row>
    <row r="1282">
      <c r="B1282" s="7"/>
      <c r="C1282" s="25"/>
      <c r="D1282" s="9"/>
    </row>
    <row r="1283">
      <c r="B1283" s="7"/>
      <c r="C1283" s="25"/>
      <c r="D1283" s="9"/>
    </row>
    <row r="1284">
      <c r="B1284" s="7"/>
      <c r="C1284" s="25"/>
      <c r="D1284" s="9"/>
    </row>
    <row r="1285">
      <c r="B1285" s="7"/>
      <c r="C1285" s="25"/>
      <c r="D1285" s="9"/>
    </row>
    <row r="1286">
      <c r="B1286" s="7"/>
      <c r="C1286" s="25"/>
      <c r="D1286" s="9"/>
    </row>
    <row r="1287">
      <c r="B1287" s="7"/>
      <c r="C1287" s="25"/>
      <c r="D1287" s="9"/>
    </row>
    <row r="1288">
      <c r="B1288" s="7"/>
      <c r="C1288" s="25"/>
      <c r="D1288" s="9"/>
    </row>
    <row r="1289">
      <c r="B1289" s="7"/>
      <c r="C1289" s="25"/>
      <c r="D1289" s="9"/>
    </row>
    <row r="1290">
      <c r="B1290" s="7"/>
      <c r="C1290" s="25"/>
      <c r="D1290" s="9"/>
    </row>
    <row r="1291">
      <c r="B1291" s="7"/>
      <c r="C1291" s="25"/>
      <c r="D1291" s="9"/>
    </row>
    <row r="1292">
      <c r="B1292" s="7"/>
      <c r="C1292" s="25"/>
      <c r="D1292" s="9"/>
    </row>
    <row r="1293">
      <c r="B1293" s="7"/>
      <c r="C1293" s="25"/>
      <c r="D1293" s="9"/>
    </row>
    <row r="1294">
      <c r="B1294" s="7"/>
      <c r="C1294" s="25"/>
      <c r="D1294" s="9"/>
    </row>
    <row r="1295">
      <c r="B1295" s="7"/>
      <c r="C1295" s="25"/>
      <c r="D1295" s="9"/>
    </row>
    <row r="1296">
      <c r="B1296" s="7"/>
      <c r="C1296" s="25"/>
      <c r="D1296" s="9"/>
    </row>
    <row r="1297">
      <c r="B1297" s="7"/>
      <c r="C1297" s="25"/>
      <c r="D1297" s="9"/>
    </row>
    <row r="1298">
      <c r="B1298" s="7"/>
      <c r="C1298" s="25"/>
      <c r="D1298" s="9"/>
    </row>
    <row r="1299">
      <c r="B1299" s="7"/>
      <c r="C1299" s="25"/>
      <c r="D1299" s="9"/>
    </row>
    <row r="1300">
      <c r="B1300" s="7"/>
      <c r="C1300" s="25"/>
      <c r="D1300" s="9"/>
    </row>
    <row r="1301">
      <c r="B1301" s="7"/>
      <c r="C1301" s="25"/>
      <c r="D1301" s="9"/>
    </row>
    <row r="1302">
      <c r="B1302" s="7"/>
      <c r="C1302" s="25"/>
      <c r="D1302" s="9"/>
    </row>
    <row r="1303">
      <c r="B1303" s="7"/>
      <c r="C1303" s="25"/>
      <c r="D1303" s="9"/>
    </row>
    <row r="1304">
      <c r="B1304" s="7"/>
      <c r="C1304" s="25"/>
      <c r="D1304" s="9"/>
    </row>
    <row r="1305">
      <c r="B1305" s="7"/>
      <c r="C1305" s="25"/>
      <c r="D1305" s="9"/>
    </row>
    <row r="1306">
      <c r="B1306" s="7"/>
      <c r="C1306" s="25"/>
      <c r="D1306" s="9"/>
    </row>
    <row r="1307">
      <c r="B1307" s="7"/>
      <c r="C1307" s="25"/>
      <c r="D1307" s="9"/>
    </row>
    <row r="1308">
      <c r="B1308" s="7"/>
      <c r="C1308" s="25"/>
      <c r="D1308" s="9"/>
    </row>
    <row r="1309">
      <c r="B1309" s="7"/>
      <c r="C1309" s="25"/>
      <c r="D1309" s="9"/>
    </row>
    <row r="1310">
      <c r="B1310" s="7"/>
      <c r="C1310" s="25"/>
      <c r="D1310" s="9"/>
    </row>
    <row r="1311">
      <c r="B1311" s="7"/>
      <c r="C1311" s="25"/>
      <c r="D1311" s="9"/>
    </row>
    <row r="1312">
      <c r="B1312" s="7"/>
      <c r="C1312" s="25"/>
      <c r="D1312" s="9"/>
    </row>
    <row r="1313">
      <c r="B1313" s="7"/>
      <c r="C1313" s="25"/>
      <c r="D1313" s="9"/>
    </row>
    <row r="1314">
      <c r="B1314" s="7"/>
      <c r="C1314" s="25"/>
      <c r="D1314" s="9"/>
    </row>
    <row r="1315">
      <c r="B1315" s="7"/>
      <c r="C1315" s="25"/>
      <c r="D1315" s="9"/>
    </row>
    <row r="1316">
      <c r="B1316" s="7"/>
      <c r="C1316" s="25"/>
      <c r="D1316" s="9"/>
    </row>
    <row r="1317">
      <c r="B1317" s="7"/>
      <c r="C1317" s="25"/>
      <c r="D1317" s="9"/>
    </row>
    <row r="1318">
      <c r="B1318" s="7"/>
      <c r="C1318" s="25"/>
      <c r="D1318" s="9"/>
    </row>
    <row r="1319">
      <c r="B1319" s="7"/>
      <c r="C1319" s="25"/>
      <c r="D1319" s="9"/>
    </row>
    <row r="1320">
      <c r="B1320" s="7"/>
      <c r="C1320" s="25"/>
      <c r="D1320" s="9"/>
    </row>
    <row r="1321">
      <c r="B1321" s="7"/>
      <c r="C1321" s="25"/>
      <c r="D1321" s="9"/>
    </row>
    <row r="1322">
      <c r="B1322" s="7"/>
      <c r="C1322" s="25"/>
      <c r="D1322" s="9"/>
    </row>
    <row r="1323">
      <c r="B1323" s="7"/>
      <c r="C1323" s="25"/>
      <c r="D1323" s="9"/>
    </row>
    <row r="1324">
      <c r="B1324" s="7"/>
      <c r="C1324" s="25"/>
      <c r="D1324" s="9"/>
    </row>
    <row r="1325">
      <c r="B1325" s="7"/>
      <c r="C1325" s="25"/>
      <c r="D1325" s="9"/>
    </row>
    <row r="1326">
      <c r="B1326" s="7"/>
      <c r="C1326" s="25"/>
      <c r="D1326" s="9"/>
    </row>
    <row r="1327">
      <c r="B1327" s="7"/>
      <c r="C1327" s="25"/>
      <c r="D1327" s="9"/>
    </row>
    <row r="1328">
      <c r="B1328" s="7"/>
      <c r="C1328" s="25"/>
      <c r="D1328" s="9"/>
    </row>
    <row r="1329">
      <c r="B1329" s="7"/>
      <c r="C1329" s="25"/>
      <c r="D1329" s="9"/>
    </row>
    <row r="1330">
      <c r="B1330" s="7"/>
      <c r="C1330" s="25"/>
      <c r="D1330" s="9"/>
    </row>
    <row r="1331">
      <c r="B1331" s="7"/>
      <c r="C1331" s="25"/>
      <c r="D1331" s="9"/>
    </row>
    <row r="1332">
      <c r="B1332" s="7"/>
      <c r="C1332" s="25"/>
      <c r="D1332" s="9"/>
    </row>
    <row r="1333">
      <c r="B1333" s="7"/>
      <c r="C1333" s="25"/>
      <c r="D1333" s="9"/>
    </row>
    <row r="1334">
      <c r="B1334" s="7"/>
      <c r="C1334" s="25"/>
      <c r="D1334" s="9"/>
    </row>
    <row r="1335">
      <c r="B1335" s="7"/>
      <c r="C1335" s="25"/>
      <c r="D1335" s="9"/>
    </row>
    <row r="1336">
      <c r="B1336" s="7"/>
      <c r="C1336" s="25"/>
      <c r="D1336" s="9"/>
    </row>
    <row r="1337">
      <c r="B1337" s="7"/>
      <c r="C1337" s="25"/>
      <c r="D1337" s="9"/>
    </row>
    <row r="1338">
      <c r="B1338" s="7"/>
      <c r="C1338" s="25"/>
      <c r="D1338" s="9"/>
    </row>
    <row r="1339">
      <c r="B1339" s="7"/>
      <c r="C1339" s="25"/>
      <c r="D1339" s="9"/>
    </row>
    <row r="1340">
      <c r="B1340" s="7"/>
      <c r="C1340" s="25"/>
      <c r="D1340" s="9"/>
    </row>
    <row r="1341">
      <c r="B1341" s="7"/>
      <c r="C1341" s="25"/>
      <c r="D1341" s="9"/>
    </row>
    <row r="1342">
      <c r="B1342" s="7"/>
      <c r="C1342" s="25"/>
      <c r="D1342" s="9"/>
    </row>
    <row r="1343">
      <c r="B1343" s="7"/>
      <c r="C1343" s="25"/>
      <c r="D1343" s="9"/>
    </row>
    <row r="1344">
      <c r="B1344" s="7"/>
      <c r="C1344" s="25"/>
      <c r="D1344" s="9"/>
    </row>
    <row r="1345">
      <c r="B1345" s="7"/>
      <c r="C1345" s="25"/>
      <c r="D1345" s="9"/>
    </row>
    <row r="1346">
      <c r="B1346" s="7"/>
      <c r="C1346" s="25"/>
      <c r="D1346" s="9"/>
    </row>
    <row r="1347">
      <c r="B1347" s="7"/>
      <c r="C1347" s="25"/>
      <c r="D1347" s="9"/>
    </row>
    <row r="1348">
      <c r="B1348" s="7"/>
      <c r="C1348" s="25"/>
      <c r="D1348" s="9"/>
    </row>
    <row r="1349">
      <c r="B1349" s="7"/>
      <c r="C1349" s="25"/>
      <c r="D1349" s="9"/>
    </row>
    <row r="1350">
      <c r="B1350" s="7"/>
      <c r="C1350" s="25"/>
      <c r="D1350" s="9"/>
    </row>
    <row r="1351">
      <c r="B1351" s="7"/>
      <c r="C1351" s="25"/>
      <c r="D1351" s="9"/>
    </row>
    <row r="1352">
      <c r="B1352" s="7"/>
      <c r="C1352" s="25"/>
      <c r="D1352" s="9"/>
    </row>
    <row r="1353">
      <c r="B1353" s="7"/>
      <c r="C1353" s="25"/>
      <c r="D1353" s="9"/>
    </row>
    <row r="1354">
      <c r="B1354" s="7"/>
      <c r="C1354" s="25"/>
      <c r="D1354" s="9"/>
    </row>
    <row r="1355">
      <c r="B1355" s="7"/>
      <c r="C1355" s="25"/>
      <c r="D1355" s="9"/>
    </row>
    <row r="1356">
      <c r="B1356" s="7"/>
      <c r="C1356" s="25"/>
      <c r="D1356" s="9"/>
    </row>
    <row r="1357">
      <c r="B1357" s="7"/>
      <c r="C1357" s="25"/>
      <c r="D1357" s="9"/>
    </row>
    <row r="1358">
      <c r="B1358" s="7"/>
      <c r="C1358" s="25"/>
      <c r="D1358" s="9"/>
    </row>
    <row r="1359">
      <c r="B1359" s="7"/>
      <c r="C1359" s="25"/>
      <c r="D1359" s="9"/>
    </row>
    <row r="1360">
      <c r="B1360" s="7"/>
      <c r="C1360" s="25"/>
      <c r="D1360" s="9"/>
    </row>
    <row r="1361">
      <c r="B1361" s="7"/>
      <c r="C1361" s="25"/>
      <c r="D1361" s="9"/>
    </row>
    <row r="1362">
      <c r="B1362" s="7"/>
      <c r="C1362" s="25"/>
      <c r="D1362" s="9"/>
    </row>
    <row r="1363">
      <c r="B1363" s="7"/>
      <c r="C1363" s="25"/>
      <c r="D1363" s="9"/>
    </row>
    <row r="1364">
      <c r="B1364" s="7"/>
      <c r="C1364" s="25"/>
      <c r="D1364" s="9"/>
    </row>
    <row r="1365">
      <c r="B1365" s="7"/>
      <c r="C1365" s="25"/>
      <c r="D1365" s="9"/>
    </row>
    <row r="1366">
      <c r="B1366" s="7"/>
      <c r="C1366" s="25"/>
      <c r="D1366" s="9"/>
    </row>
    <row r="1367">
      <c r="B1367" s="7"/>
      <c r="C1367" s="25"/>
      <c r="D1367" s="9"/>
    </row>
    <row r="1368">
      <c r="B1368" s="7"/>
      <c r="C1368" s="25"/>
      <c r="D1368" s="9"/>
    </row>
    <row r="1369">
      <c r="B1369" s="7"/>
      <c r="C1369" s="25"/>
      <c r="D1369" s="9"/>
    </row>
    <row r="1370">
      <c r="B1370" s="7"/>
      <c r="C1370" s="25"/>
      <c r="D1370" s="9"/>
    </row>
    <row r="1371">
      <c r="B1371" s="7"/>
      <c r="C1371" s="25"/>
      <c r="D1371" s="9"/>
    </row>
    <row r="1372">
      <c r="B1372" s="7"/>
      <c r="C1372" s="25"/>
      <c r="D1372" s="9"/>
    </row>
    <row r="1373">
      <c r="B1373" s="7"/>
      <c r="C1373" s="25"/>
      <c r="D1373" s="9"/>
    </row>
    <row r="1374">
      <c r="B1374" s="7"/>
      <c r="C1374" s="25"/>
      <c r="D1374" s="9"/>
    </row>
    <row r="1375">
      <c r="B1375" s="7"/>
      <c r="C1375" s="25"/>
      <c r="D1375" s="9"/>
    </row>
    <row r="1376">
      <c r="B1376" s="7"/>
      <c r="C1376" s="25"/>
      <c r="D1376" s="9"/>
    </row>
    <row r="1377">
      <c r="B1377" s="7"/>
      <c r="C1377" s="25"/>
      <c r="D1377" s="9"/>
    </row>
    <row r="1378">
      <c r="B1378" s="7"/>
      <c r="C1378" s="25"/>
      <c r="D1378" s="9"/>
    </row>
    <row r="1379">
      <c r="B1379" s="7"/>
      <c r="C1379" s="25"/>
      <c r="D1379" s="9"/>
    </row>
    <row r="1380">
      <c r="B1380" s="7"/>
      <c r="C1380" s="25"/>
      <c r="D1380" s="9"/>
    </row>
    <row r="1381">
      <c r="B1381" s="7"/>
      <c r="C1381" s="25"/>
      <c r="D1381" s="9"/>
    </row>
    <row r="1382">
      <c r="B1382" s="7"/>
      <c r="C1382" s="25"/>
      <c r="D1382" s="9"/>
    </row>
    <row r="1383">
      <c r="B1383" s="7"/>
      <c r="C1383" s="25"/>
      <c r="D1383" s="9"/>
    </row>
    <row r="1384">
      <c r="B1384" s="7"/>
      <c r="C1384" s="25"/>
      <c r="D1384" s="9"/>
    </row>
    <row r="1385">
      <c r="B1385" s="7"/>
      <c r="C1385" s="25"/>
      <c r="D1385" s="9"/>
    </row>
    <row r="1386">
      <c r="B1386" s="7"/>
      <c r="C1386" s="25"/>
      <c r="D1386" s="9"/>
    </row>
    <row r="1387">
      <c r="B1387" s="7"/>
      <c r="C1387" s="25"/>
      <c r="D1387" s="9"/>
    </row>
    <row r="1388">
      <c r="B1388" s="7"/>
      <c r="C1388" s="25"/>
      <c r="D1388" s="9"/>
    </row>
    <row r="1389">
      <c r="B1389" s="7"/>
      <c r="C1389" s="25"/>
      <c r="D1389" s="9"/>
    </row>
    <row r="1390">
      <c r="B1390" s="7"/>
      <c r="C1390" s="25"/>
      <c r="D1390" s="9"/>
    </row>
    <row r="1391">
      <c r="B1391" s="7"/>
      <c r="C1391" s="25"/>
      <c r="D1391" s="9"/>
    </row>
    <row r="1392">
      <c r="B1392" s="7"/>
      <c r="C1392" s="25"/>
      <c r="D1392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17.0"/>
    <col customWidth="1" min="3" max="3" width="35.13"/>
    <col customWidth="1" min="4" max="4" width="20.63"/>
    <col customWidth="1" min="5" max="5" width="20.88"/>
  </cols>
  <sheetData>
    <row r="1">
      <c r="A1" s="1" t="s">
        <v>69</v>
      </c>
      <c r="B1" s="1">
        <v>30.0</v>
      </c>
    </row>
    <row r="2">
      <c r="A2" s="1" t="s">
        <v>70</v>
      </c>
      <c r="B2" s="1">
        <v>135.0</v>
      </c>
    </row>
    <row r="3">
      <c r="A3" s="1" t="s">
        <v>71</v>
      </c>
      <c r="B3" s="1">
        <v>100.0</v>
      </c>
    </row>
    <row r="4">
      <c r="A4" s="1" t="s">
        <v>72</v>
      </c>
      <c r="B4" s="1">
        <v>95.0</v>
      </c>
    </row>
    <row r="6">
      <c r="A6" s="1" t="s">
        <v>73</v>
      </c>
      <c r="B6" s="1">
        <v>95.0</v>
      </c>
    </row>
    <row r="8">
      <c r="A8" s="1"/>
      <c r="B8" s="1"/>
    </row>
    <row r="9">
      <c r="A9" s="1" t="s">
        <v>74</v>
      </c>
      <c r="B9" s="1">
        <v>120.0</v>
      </c>
    </row>
    <row r="11">
      <c r="A11" s="1" t="s">
        <v>75</v>
      </c>
      <c r="B11" s="1">
        <v>65.0</v>
      </c>
    </row>
    <row r="12">
      <c r="A12" s="1" t="s">
        <v>76</v>
      </c>
      <c r="B12" s="1">
        <v>20.0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9.13"/>
    <col customWidth="1" min="3" max="3" width="29.5"/>
    <col customWidth="1" min="4" max="4" width="18.25"/>
    <col customWidth="1" min="5" max="5" width="20.38"/>
  </cols>
  <sheetData>
    <row r="1">
      <c r="A1" s="1" t="s">
        <v>78</v>
      </c>
      <c r="G1" s="33"/>
      <c r="I1" s="1"/>
    </row>
    <row r="2">
      <c r="A2" s="1" t="s">
        <v>79</v>
      </c>
      <c r="B2" s="1">
        <v>70.0</v>
      </c>
      <c r="G2" s="34"/>
    </row>
    <row r="3">
      <c r="A3" s="1" t="s">
        <v>80</v>
      </c>
      <c r="B3" s="1">
        <v>80.0</v>
      </c>
      <c r="G3" s="34"/>
    </row>
    <row r="4">
      <c r="A4" s="1" t="s">
        <v>81</v>
      </c>
      <c r="B4" s="1">
        <v>200.0</v>
      </c>
      <c r="F4" s="35"/>
      <c r="G4" s="34"/>
    </row>
    <row r="5">
      <c r="A5" s="1" t="s">
        <v>82</v>
      </c>
      <c r="B5" s="1">
        <v>50.0</v>
      </c>
      <c r="F5" s="35"/>
      <c r="G5" s="34"/>
    </row>
    <row r="6">
      <c r="A6" s="1" t="s">
        <v>83</v>
      </c>
      <c r="B6" s="1">
        <v>70.0</v>
      </c>
      <c r="F6" s="35"/>
      <c r="G6" s="34"/>
    </row>
    <row r="7">
      <c r="F7" s="35"/>
      <c r="G7" s="34"/>
    </row>
    <row r="8">
      <c r="A8" s="1" t="s">
        <v>84</v>
      </c>
      <c r="B8" s="1">
        <v>90.0</v>
      </c>
      <c r="E8" s="13"/>
      <c r="F8" s="35"/>
      <c r="G8" s="34"/>
    </row>
    <row r="9">
      <c r="A9" s="1" t="s">
        <v>85</v>
      </c>
      <c r="B9" s="1">
        <v>16.0</v>
      </c>
      <c r="E9" s="13"/>
      <c r="F9" s="35"/>
      <c r="G9" s="34"/>
    </row>
    <row r="10">
      <c r="C10" s="1"/>
      <c r="E10" s="13"/>
      <c r="F10" s="35"/>
      <c r="G10" s="34"/>
    </row>
    <row r="11">
      <c r="A11" s="1" t="s">
        <v>86</v>
      </c>
      <c r="B11" s="1">
        <v>10.0</v>
      </c>
      <c r="C11" s="5"/>
      <c r="F11" s="35"/>
      <c r="G11" s="34"/>
    </row>
    <row r="12">
      <c r="A12" s="1" t="s">
        <v>87</v>
      </c>
      <c r="B12" s="1">
        <v>10.0</v>
      </c>
      <c r="C12" s="1"/>
      <c r="F12" s="35"/>
      <c r="G12" s="34"/>
    </row>
    <row r="13">
      <c r="A13" s="1" t="s">
        <v>88</v>
      </c>
      <c r="B13" s="1">
        <v>30.0</v>
      </c>
      <c r="C13" s="5"/>
      <c r="G13" s="34"/>
    </row>
    <row r="14">
      <c r="F14" s="35"/>
      <c r="G14" s="34"/>
    </row>
    <row r="15">
      <c r="A15" s="1" t="s">
        <v>89</v>
      </c>
      <c r="B15" s="1">
        <v>100.0</v>
      </c>
      <c r="F15" s="35"/>
      <c r="G15" s="34"/>
    </row>
    <row r="16">
      <c r="F16" s="35"/>
      <c r="G16" s="34"/>
    </row>
    <row r="17">
      <c r="E17" s="35"/>
      <c r="F17" s="35"/>
      <c r="G17" s="34"/>
    </row>
    <row r="18">
      <c r="E18" s="13"/>
      <c r="F18" s="35"/>
      <c r="G18" s="34"/>
    </row>
    <row r="19">
      <c r="A19" s="1" t="s">
        <v>90</v>
      </c>
      <c r="B19" s="1">
        <v>130.0</v>
      </c>
      <c r="C19" s="1"/>
      <c r="E19" s="13"/>
      <c r="F19" s="35"/>
      <c r="G19" s="34"/>
    </row>
    <row r="20">
      <c r="A20" s="1" t="s">
        <v>91</v>
      </c>
      <c r="B20" s="1">
        <v>140.0</v>
      </c>
      <c r="E20" s="13"/>
      <c r="F20" s="35"/>
      <c r="G20" s="34"/>
    </row>
    <row r="21">
      <c r="A21" s="1" t="s">
        <v>92</v>
      </c>
      <c r="B21" s="1">
        <v>100.0</v>
      </c>
      <c r="E21" s="13"/>
      <c r="F21" s="35"/>
      <c r="G21" s="34"/>
    </row>
    <row r="22">
      <c r="A22" s="1" t="s">
        <v>93</v>
      </c>
      <c r="B22" s="1">
        <v>110.0</v>
      </c>
      <c r="C22" s="36"/>
      <c r="E22" s="13"/>
      <c r="F22" s="35"/>
      <c r="G22" s="34"/>
    </row>
    <row r="23">
      <c r="A23" s="1" t="s">
        <v>94</v>
      </c>
      <c r="B23" s="1">
        <v>100.0</v>
      </c>
      <c r="C23" s="36"/>
      <c r="E23" s="13"/>
      <c r="F23" s="35"/>
      <c r="G23" s="34"/>
    </row>
    <row r="24">
      <c r="E24" s="35"/>
      <c r="F24" s="35"/>
      <c r="G24" s="34"/>
    </row>
    <row r="25">
      <c r="C25" s="36"/>
      <c r="E25" s="13"/>
      <c r="F25" s="35"/>
      <c r="G25" s="34"/>
    </row>
    <row r="26">
      <c r="C26" s="36"/>
      <c r="E26" s="13"/>
      <c r="F26" s="35"/>
      <c r="G26" s="34"/>
    </row>
    <row r="27">
      <c r="A27" s="1"/>
      <c r="E27" s="13"/>
      <c r="F27" s="35"/>
      <c r="G27" s="34"/>
    </row>
    <row r="28">
      <c r="E28" s="13"/>
      <c r="F28" s="35"/>
      <c r="G28" s="34"/>
    </row>
    <row r="30">
      <c r="A30" s="36"/>
      <c r="F30" s="35"/>
      <c r="G30" s="34"/>
    </row>
    <row r="31">
      <c r="E31" s="35"/>
      <c r="F31" s="35"/>
      <c r="G31" s="34"/>
    </row>
    <row r="32">
      <c r="E32" s="13"/>
      <c r="F32" s="35"/>
      <c r="G32" s="34"/>
    </row>
    <row r="33">
      <c r="F33" s="35"/>
      <c r="G33" s="34"/>
    </row>
    <row r="34">
      <c r="E34" s="35"/>
      <c r="F34" s="35"/>
      <c r="G34" s="34"/>
    </row>
    <row r="36">
      <c r="F36" s="35"/>
      <c r="G36" s="34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13"/>
    <col customWidth="1" min="2" max="3" width="15.38"/>
    <col customWidth="1" min="4" max="4" width="35.88"/>
  </cols>
  <sheetData>
    <row r="1">
      <c r="A1" s="1" t="s">
        <v>95</v>
      </c>
      <c r="B1" s="1">
        <v>30.0</v>
      </c>
      <c r="C1" s="1"/>
    </row>
    <row r="2">
      <c r="A2" s="1" t="s">
        <v>96</v>
      </c>
      <c r="B2" s="1">
        <v>80.0</v>
      </c>
      <c r="C2" s="1"/>
    </row>
    <row r="3">
      <c r="A3" s="1" t="s">
        <v>97</v>
      </c>
      <c r="B3" s="1">
        <v>42.0</v>
      </c>
      <c r="C3" s="1"/>
    </row>
    <row r="5">
      <c r="A5" s="1" t="s">
        <v>98</v>
      </c>
      <c r="B5" s="1">
        <v>60.0</v>
      </c>
    </row>
    <row r="6">
      <c r="A6" s="1" t="s">
        <v>99</v>
      </c>
      <c r="B6" s="1">
        <v>40.0</v>
      </c>
    </row>
    <row r="7">
      <c r="A7" s="1" t="s">
        <v>100</v>
      </c>
      <c r="B7" s="1">
        <v>40.0</v>
      </c>
      <c r="C7" s="1"/>
    </row>
    <row r="8">
      <c r="A8" s="1" t="s">
        <v>101</v>
      </c>
      <c r="B8" s="1">
        <v>30.0</v>
      </c>
    </row>
    <row r="9">
      <c r="C9" s="1"/>
    </row>
    <row r="10">
      <c r="A10" s="1" t="s">
        <v>102</v>
      </c>
      <c r="B10" s="1">
        <v>15.0</v>
      </c>
      <c r="C10" s="1"/>
    </row>
    <row r="11">
      <c r="A11" s="1" t="s">
        <v>103</v>
      </c>
      <c r="B11" s="1">
        <v>61.0</v>
      </c>
      <c r="C11" s="1"/>
    </row>
    <row r="12">
      <c r="A12" s="1" t="s">
        <v>104</v>
      </c>
      <c r="B12" s="1">
        <v>91.0</v>
      </c>
      <c r="C12" s="1"/>
    </row>
    <row r="13">
      <c r="A13" s="1" t="s">
        <v>105</v>
      </c>
      <c r="B13" s="1">
        <v>80.0</v>
      </c>
      <c r="C13" s="1"/>
      <c r="D13" s="1" t="s">
        <v>106</v>
      </c>
    </row>
    <row r="14">
      <c r="A14" s="1" t="s">
        <v>107</v>
      </c>
      <c r="B14" s="1">
        <v>50.0</v>
      </c>
      <c r="C14" s="1"/>
    </row>
    <row r="15">
      <c r="C15" s="1"/>
    </row>
    <row r="17">
      <c r="A17" s="1" t="s">
        <v>108</v>
      </c>
      <c r="B17" s="1">
        <v>10.0</v>
      </c>
    </row>
    <row r="18">
      <c r="A18" s="1" t="s">
        <v>109</v>
      </c>
      <c r="B18" s="1">
        <v>10.0</v>
      </c>
    </row>
    <row r="19">
      <c r="A19" s="1" t="s">
        <v>110</v>
      </c>
      <c r="B19" s="1">
        <v>37.0</v>
      </c>
      <c r="E19" s="1"/>
    </row>
    <row r="21">
      <c r="A21" s="1" t="s">
        <v>111</v>
      </c>
      <c r="B21" s="1">
        <v>20.0</v>
      </c>
    </row>
    <row r="22">
      <c r="A22" s="1" t="s">
        <v>112</v>
      </c>
      <c r="B22" s="1">
        <v>10.0</v>
      </c>
    </row>
    <row r="24">
      <c r="A24" s="1" t="s">
        <v>113</v>
      </c>
      <c r="B24" s="1">
        <v>10.0</v>
      </c>
    </row>
    <row r="25">
      <c r="A25" s="1" t="s">
        <v>114</v>
      </c>
      <c r="B25" s="1">
        <v>10.0</v>
      </c>
    </row>
    <row r="27">
      <c r="A27" s="1" t="s">
        <v>115</v>
      </c>
      <c r="B27" s="1">
        <v>20.0</v>
      </c>
    </row>
    <row r="28">
      <c r="A28" s="1" t="s">
        <v>116</v>
      </c>
      <c r="B28" s="1">
        <v>63.0</v>
      </c>
    </row>
    <row r="29">
      <c r="C29" s="1"/>
    </row>
    <row r="30">
      <c r="C30" s="1"/>
    </row>
    <row r="33">
      <c r="C33" s="1"/>
    </row>
    <row r="35" ht="17.25" customHeight="1"/>
    <row r="37">
      <c r="C37" s="1"/>
    </row>
    <row r="38">
      <c r="C38" s="1"/>
    </row>
    <row r="39">
      <c r="C39" s="1"/>
    </row>
    <row r="40">
      <c r="C40" s="1"/>
    </row>
    <row r="41">
      <c r="C41" s="1"/>
    </row>
    <row r="42">
      <c r="C42" s="1"/>
    </row>
    <row r="43">
      <c r="C43" s="1"/>
    </row>
    <row r="44">
      <c r="C44" s="1"/>
    </row>
    <row r="45">
      <c r="C45" s="1"/>
    </row>
    <row r="49">
      <c r="C49" s="1"/>
    </row>
    <row r="53">
      <c r="C53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19.5"/>
    <col customWidth="1" min="3" max="3" width="23.75"/>
    <col customWidth="1" min="4" max="4" width="18.13"/>
    <col customWidth="1" min="6" max="6" width="24.63"/>
  </cols>
  <sheetData>
    <row r="1">
      <c r="A1" s="1" t="s">
        <v>118</v>
      </c>
      <c r="B1" s="1">
        <v>15.0</v>
      </c>
    </row>
    <row r="3">
      <c r="A3" s="1" t="s">
        <v>119</v>
      </c>
      <c r="B3" s="1">
        <v>630.0</v>
      </c>
    </row>
    <row r="4">
      <c r="A4" s="1" t="s">
        <v>120</v>
      </c>
      <c r="B4" s="1">
        <v>170.0</v>
      </c>
    </row>
    <row r="5">
      <c r="A5" s="1" t="s">
        <v>121</v>
      </c>
      <c r="B5" s="1">
        <v>190.0</v>
      </c>
    </row>
    <row r="6">
      <c r="A6" s="1" t="s">
        <v>122</v>
      </c>
      <c r="B6" s="1">
        <v>190.0</v>
      </c>
    </row>
    <row r="7">
      <c r="A7" s="1" t="s">
        <v>123</v>
      </c>
      <c r="B7" s="1">
        <v>360.0</v>
      </c>
    </row>
    <row r="8">
      <c r="A8" s="1" t="s">
        <v>124</v>
      </c>
      <c r="B8" s="1">
        <v>180.0</v>
      </c>
    </row>
    <row r="10">
      <c r="A10" s="1" t="s">
        <v>125</v>
      </c>
      <c r="B10" s="1">
        <v>60.0</v>
      </c>
    </row>
    <row r="13">
      <c r="A13" s="1" t="s">
        <v>126</v>
      </c>
      <c r="B13" s="1">
        <v>80.0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14.5"/>
    <col customWidth="1" min="3" max="3" width="25.5"/>
    <col customWidth="1" min="4" max="4" width="13.38"/>
    <col customWidth="1" min="5" max="5" width="24.75"/>
    <col customWidth="1" min="6" max="6" width="14.38"/>
    <col customWidth="1" min="7" max="7" width="30.38"/>
    <col customWidth="1" min="8" max="8" width="22.88"/>
    <col customWidth="1" min="9" max="9" width="7.63"/>
    <col customWidth="1" min="10" max="10" width="7.88"/>
  </cols>
  <sheetData>
    <row r="1">
      <c r="A1" s="1" t="s">
        <v>127</v>
      </c>
      <c r="B1" s="1">
        <v>10.0</v>
      </c>
    </row>
    <row r="3">
      <c r="A3" s="1" t="s">
        <v>128</v>
      </c>
      <c r="B3" s="1">
        <v>1710.0</v>
      </c>
    </row>
    <row r="4">
      <c r="A4" s="1" t="s">
        <v>129</v>
      </c>
      <c r="B4" s="1">
        <v>595.0</v>
      </c>
    </row>
    <row r="5">
      <c r="A5" s="1" t="s">
        <v>130</v>
      </c>
      <c r="B5" s="1">
        <v>810.0</v>
      </c>
    </row>
    <row r="6">
      <c r="A6" s="1" t="s">
        <v>131</v>
      </c>
      <c r="B6" s="1">
        <v>660.0</v>
      </c>
    </row>
    <row r="7">
      <c r="A7" s="1" t="s">
        <v>132</v>
      </c>
      <c r="B7" s="1">
        <v>435.0</v>
      </c>
    </row>
    <row r="8">
      <c r="A8" s="1" t="s">
        <v>133</v>
      </c>
      <c r="B8" s="1">
        <v>145.0</v>
      </c>
    </row>
    <row r="9">
      <c r="A9" s="1"/>
      <c r="B9" s="1"/>
    </row>
    <row r="11">
      <c r="A11" s="1" t="s">
        <v>134</v>
      </c>
      <c r="B11" s="1">
        <v>555.0</v>
      </c>
      <c r="C11" s="1" t="s">
        <v>135</v>
      </c>
    </row>
    <row r="12">
      <c r="A12" s="1" t="s">
        <v>136</v>
      </c>
      <c r="B12" s="1">
        <v>231.0</v>
      </c>
      <c r="C12" s="1" t="s">
        <v>135</v>
      </c>
    </row>
    <row r="13">
      <c r="A13" s="1" t="s">
        <v>137</v>
      </c>
      <c r="B13" s="1">
        <v>474.0</v>
      </c>
      <c r="C13" s="1" t="s">
        <v>135</v>
      </c>
    </row>
    <row r="14">
      <c r="A14" s="1" t="s">
        <v>138</v>
      </c>
      <c r="B14" s="1">
        <v>84.0</v>
      </c>
    </row>
    <row r="15">
      <c r="A15" s="1" t="s">
        <v>139</v>
      </c>
      <c r="B15" s="1">
        <v>50.0</v>
      </c>
    </row>
    <row r="16">
      <c r="A16" s="1" t="s">
        <v>140</v>
      </c>
      <c r="B16" s="1">
        <v>404.0</v>
      </c>
    </row>
    <row r="18">
      <c r="A18" s="1" t="s">
        <v>141</v>
      </c>
      <c r="B18" s="1">
        <v>611.0</v>
      </c>
    </row>
    <row r="20">
      <c r="A20" s="1" t="s">
        <v>142</v>
      </c>
      <c r="B20" s="1">
        <v>415.0</v>
      </c>
    </row>
    <row r="22">
      <c r="A22" s="1" t="s">
        <v>143</v>
      </c>
      <c r="B22" s="1">
        <v>324.0</v>
      </c>
    </row>
    <row r="23">
      <c r="A23" s="1" t="s">
        <v>144</v>
      </c>
      <c r="B23" s="1">
        <v>83.0</v>
      </c>
    </row>
    <row r="24">
      <c r="A24" s="1" t="s">
        <v>145</v>
      </c>
      <c r="B24" s="1">
        <v>42.0</v>
      </c>
    </row>
    <row r="25">
      <c r="A25" s="1" t="s">
        <v>146</v>
      </c>
      <c r="B25" s="1">
        <v>17.0</v>
      </c>
    </row>
    <row r="26">
      <c r="A26" s="1" t="s">
        <v>147</v>
      </c>
      <c r="B26" s="1">
        <v>26.0</v>
      </c>
    </row>
    <row r="27">
      <c r="A27" s="1" t="s">
        <v>148</v>
      </c>
      <c r="B27" s="1">
        <v>110.0</v>
      </c>
    </row>
    <row r="29">
      <c r="A29" s="1" t="s">
        <v>149</v>
      </c>
      <c r="B29" s="1">
        <v>30.0</v>
      </c>
    </row>
    <row r="31">
      <c r="A31" s="1"/>
      <c r="B31" s="1"/>
    </row>
    <row r="32">
      <c r="A32" s="1" t="s">
        <v>150</v>
      </c>
      <c r="B32" s="1">
        <v>50.0</v>
      </c>
    </row>
    <row r="33">
      <c r="A33" s="1" t="s">
        <v>151</v>
      </c>
      <c r="B33" s="1">
        <v>80.0</v>
      </c>
    </row>
    <row r="34">
      <c r="A34" s="1" t="s">
        <v>152</v>
      </c>
      <c r="B34" s="1">
        <v>100.0</v>
      </c>
    </row>
    <row r="35">
      <c r="A35" s="1" t="s">
        <v>153</v>
      </c>
      <c r="B35" s="1">
        <v>30.0</v>
      </c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26.38"/>
    <col customWidth="1" min="3" max="3" width="24.13"/>
    <col customWidth="1" min="4" max="4" width="16.0"/>
    <col customWidth="1" min="5" max="5" width="20.38"/>
    <col customWidth="1" min="6" max="6" width="14.0"/>
    <col customWidth="1" min="7" max="7" width="11.13"/>
    <col customWidth="1" min="8" max="8" width="10.38"/>
    <col customWidth="1" min="9" max="9" width="9.88"/>
    <col customWidth="1" min="10" max="10" width="22.38"/>
    <col customWidth="1" min="11" max="11" width="13.88"/>
  </cols>
  <sheetData>
    <row r="1">
      <c r="A1" s="1" t="s">
        <v>154</v>
      </c>
      <c r="B1" s="1">
        <v>9.0</v>
      </c>
      <c r="D1" s="16"/>
      <c r="E1" s="16"/>
      <c r="F1" s="39"/>
      <c r="G1" s="40"/>
      <c r="H1" s="41"/>
      <c r="I1" s="42"/>
      <c r="J1" s="43"/>
    </row>
    <row r="2">
      <c r="A2" s="1" t="s">
        <v>155</v>
      </c>
      <c r="B2" s="1">
        <v>60.0</v>
      </c>
      <c r="D2" s="16"/>
      <c r="E2" s="16"/>
      <c r="F2" s="39"/>
      <c r="G2" s="40"/>
      <c r="H2" s="41"/>
      <c r="I2" s="42"/>
      <c r="J2" s="43"/>
    </row>
    <row r="3">
      <c r="A3" s="1" t="s">
        <v>156</v>
      </c>
      <c r="B3" s="1">
        <v>22.0</v>
      </c>
      <c r="D3" s="16"/>
      <c r="E3" s="16"/>
      <c r="F3" s="39"/>
      <c r="G3" s="40"/>
      <c r="H3" s="41"/>
      <c r="I3" s="42"/>
      <c r="J3" s="43"/>
    </row>
    <row r="4">
      <c r="A4" s="1" t="s">
        <v>157</v>
      </c>
      <c r="B4" s="1">
        <v>10.0</v>
      </c>
      <c r="D4" s="16"/>
      <c r="E4" s="16"/>
      <c r="F4" s="39"/>
      <c r="G4" s="40"/>
      <c r="H4" s="40"/>
      <c r="I4" s="41"/>
      <c r="M4" s="44"/>
    </row>
    <row r="5">
      <c r="A5" s="1" t="s">
        <v>158</v>
      </c>
      <c r="B5" s="1">
        <v>81.0</v>
      </c>
      <c r="D5" s="16"/>
      <c r="E5" s="16"/>
      <c r="F5" s="45"/>
      <c r="J5" s="44"/>
    </row>
    <row r="6">
      <c r="A6" s="44" t="s">
        <v>159</v>
      </c>
      <c r="B6" s="1">
        <v>50.0</v>
      </c>
      <c r="D6" s="16"/>
      <c r="E6" s="16"/>
      <c r="F6" s="39"/>
      <c r="G6" s="43"/>
      <c r="H6" s="40"/>
      <c r="I6" s="41"/>
      <c r="J6" s="44"/>
    </row>
    <row r="7">
      <c r="A7" s="44" t="s">
        <v>160</v>
      </c>
      <c r="B7" s="1">
        <v>10.0</v>
      </c>
      <c r="D7" s="46"/>
      <c r="E7" s="46"/>
      <c r="F7" s="46"/>
      <c r="G7" s="47"/>
      <c r="H7" s="47"/>
      <c r="K7" s="48"/>
    </row>
    <row r="8">
      <c r="A8" s="44" t="s">
        <v>161</v>
      </c>
      <c r="B8" s="1">
        <v>13.0</v>
      </c>
      <c r="D8" s="10"/>
      <c r="E8" s="49"/>
      <c r="F8" s="39"/>
      <c r="G8" s="40"/>
      <c r="H8" s="42"/>
      <c r="I8" s="42"/>
    </row>
    <row r="9">
      <c r="A9" s="44" t="s">
        <v>162</v>
      </c>
      <c r="B9" s="1">
        <v>4.0</v>
      </c>
      <c r="D9" s="16"/>
      <c r="E9" s="50"/>
      <c r="F9" s="39"/>
      <c r="G9" s="40"/>
      <c r="H9" s="42"/>
      <c r="I9" s="42"/>
    </row>
    <row r="10">
      <c r="A10" s="1" t="s">
        <v>163</v>
      </c>
      <c r="B10" s="1">
        <v>40.0</v>
      </c>
      <c r="D10" s="10"/>
      <c r="E10" s="49"/>
      <c r="F10" s="51"/>
      <c r="G10" s="52"/>
      <c r="H10" s="42"/>
      <c r="I10" s="42"/>
    </row>
    <row r="11">
      <c r="A11" s="1" t="s">
        <v>164</v>
      </c>
      <c r="B11" s="1">
        <v>20.0</v>
      </c>
      <c r="D11" s="10"/>
      <c r="E11" s="49"/>
      <c r="F11" s="51"/>
      <c r="G11" s="52"/>
      <c r="H11" s="42"/>
      <c r="I11" s="42"/>
    </row>
    <row r="12">
      <c r="A12" s="1" t="s">
        <v>165</v>
      </c>
      <c r="B12" s="1">
        <v>40.0</v>
      </c>
      <c r="D12" s="10"/>
      <c r="E12" s="49"/>
      <c r="F12" s="51"/>
      <c r="G12" s="52"/>
      <c r="H12" s="42"/>
      <c r="I12" s="42"/>
    </row>
    <row r="13">
      <c r="A13" s="16" t="s">
        <v>166</v>
      </c>
      <c r="B13" s="1">
        <v>33.0</v>
      </c>
      <c r="D13" s="10"/>
      <c r="E13" s="49"/>
      <c r="F13" s="51"/>
      <c r="G13" s="52"/>
      <c r="H13" s="42"/>
      <c r="I13" s="42"/>
    </row>
    <row r="14">
      <c r="A14" s="1" t="s">
        <v>168</v>
      </c>
      <c r="B14" s="1">
        <v>80.0</v>
      </c>
      <c r="D14" s="10"/>
      <c r="E14" s="49"/>
      <c r="F14" s="51"/>
      <c r="G14" s="52"/>
      <c r="H14" s="42"/>
      <c r="I14" s="42"/>
    </row>
    <row r="15">
      <c r="A15" s="1" t="s">
        <v>169</v>
      </c>
      <c r="B15" s="1">
        <v>50.0</v>
      </c>
      <c r="D15" s="10"/>
      <c r="E15" s="49"/>
      <c r="F15" s="51"/>
      <c r="G15" s="52"/>
      <c r="H15" s="42"/>
      <c r="I15" s="42"/>
    </row>
    <row r="16">
      <c r="A16" s="1" t="s">
        <v>170</v>
      </c>
      <c r="B16" s="1">
        <v>289.0</v>
      </c>
      <c r="D16" s="10"/>
      <c r="E16" s="49"/>
      <c r="F16" s="51"/>
      <c r="G16" s="52"/>
      <c r="H16" s="42"/>
      <c r="I16" s="42"/>
    </row>
    <row r="17">
      <c r="A17" s="45"/>
      <c r="B17" s="13"/>
      <c r="C17" s="5"/>
      <c r="D17" s="10"/>
      <c r="E17" s="10"/>
      <c r="F17" s="10"/>
      <c r="J17" s="47"/>
    </row>
    <row r="18">
      <c r="A18" s="45" t="s">
        <v>172</v>
      </c>
      <c r="B18" s="13">
        <v>39.0</v>
      </c>
      <c r="C18" s="5"/>
      <c r="D18" s="10"/>
      <c r="E18" s="10"/>
      <c r="F18" s="10"/>
      <c r="J18" s="47"/>
    </row>
    <row r="19">
      <c r="A19" s="45" t="s">
        <v>173</v>
      </c>
      <c r="B19" s="13">
        <v>14.0</v>
      </c>
      <c r="C19" s="5"/>
      <c r="D19" s="10"/>
      <c r="E19" s="10"/>
      <c r="F19" s="10"/>
      <c r="J19" s="47"/>
    </row>
    <row r="20">
      <c r="A20" s="45" t="s">
        <v>175</v>
      </c>
      <c r="B20" s="13">
        <v>49.0</v>
      </c>
      <c r="C20" s="5"/>
      <c r="D20" s="10"/>
      <c r="E20" s="10"/>
      <c r="F20" s="10"/>
      <c r="J20" s="47"/>
    </row>
    <row r="21">
      <c r="B21" s="13"/>
      <c r="C21" s="5"/>
      <c r="D21" s="10"/>
      <c r="E21" s="10"/>
      <c r="F21" s="10"/>
    </row>
    <row r="22">
      <c r="A22" s="1" t="s">
        <v>177</v>
      </c>
      <c r="B22" s="1">
        <v>10.0</v>
      </c>
      <c r="D22" s="46"/>
      <c r="E22" s="46"/>
      <c r="F22" s="46"/>
      <c r="G22" s="47"/>
      <c r="H22" s="47"/>
      <c r="I22" s="47"/>
      <c r="K22" s="48"/>
    </row>
    <row r="23">
      <c r="A23" s="1" t="s">
        <v>178</v>
      </c>
      <c r="B23" s="1">
        <v>10.0</v>
      </c>
      <c r="D23" s="46"/>
      <c r="E23" s="46"/>
      <c r="F23" s="46"/>
      <c r="G23" s="47"/>
      <c r="H23" s="47"/>
      <c r="I23" s="47"/>
      <c r="K23" s="48"/>
    </row>
    <row r="24">
      <c r="A24" s="44" t="s">
        <v>181</v>
      </c>
      <c r="B24" s="13">
        <v>30.0</v>
      </c>
      <c r="C24" s="5"/>
      <c r="D24" s="10"/>
      <c r="E24" s="10"/>
      <c r="F24" s="10"/>
    </row>
    <row r="25">
      <c r="A25" s="1" t="s">
        <v>184</v>
      </c>
      <c r="B25" s="1">
        <v>10.0</v>
      </c>
      <c r="D25" s="46"/>
      <c r="E25" s="46"/>
      <c r="F25" s="46"/>
      <c r="G25" s="47"/>
      <c r="H25" s="47"/>
      <c r="I25" s="47"/>
      <c r="J25" s="47"/>
      <c r="K25" s="48"/>
    </row>
    <row r="26">
      <c r="A26" s="44" t="s">
        <v>186</v>
      </c>
      <c r="B26" s="1">
        <v>20.0</v>
      </c>
      <c r="D26" s="10"/>
      <c r="E26" s="10"/>
      <c r="F26" s="10"/>
    </row>
    <row r="27">
      <c r="A27" s="1" t="s">
        <v>187</v>
      </c>
      <c r="B27" s="1">
        <v>10.0</v>
      </c>
      <c r="C27" s="5"/>
      <c r="D27" s="10"/>
      <c r="E27" s="10"/>
      <c r="F27" s="10"/>
    </row>
    <row r="28">
      <c r="A28" s="1" t="s">
        <v>188</v>
      </c>
      <c r="B28" s="13">
        <v>26.0</v>
      </c>
      <c r="C28" s="5"/>
      <c r="D28" s="10"/>
      <c r="E28" s="10"/>
      <c r="F28" s="10"/>
    </row>
    <row r="29">
      <c r="A29" s="1" t="s">
        <v>189</v>
      </c>
      <c r="B29" s="13">
        <v>40.0</v>
      </c>
      <c r="C29" s="5"/>
      <c r="D29" s="10"/>
      <c r="E29" s="10"/>
      <c r="F29" s="10"/>
    </row>
    <row r="30">
      <c r="A30" s="1" t="s">
        <v>190</v>
      </c>
      <c r="B30" s="1">
        <v>21.0</v>
      </c>
      <c r="C30" s="60"/>
      <c r="D30" s="61"/>
      <c r="E30" s="62"/>
      <c r="F30" s="61"/>
      <c r="G30" s="37"/>
      <c r="H30" s="37"/>
      <c r="I30" s="63"/>
      <c r="J30" s="64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</row>
    <row r="31">
      <c r="A31" s="1" t="s">
        <v>191</v>
      </c>
      <c r="B31" s="1">
        <v>8.0</v>
      </c>
      <c r="C31" s="60"/>
      <c r="D31" s="61"/>
      <c r="E31" s="62"/>
      <c r="F31" s="61"/>
      <c r="G31" s="37"/>
      <c r="H31" s="37"/>
      <c r="I31" s="63"/>
      <c r="J31" s="64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</row>
    <row r="32">
      <c r="A32" s="1" t="s">
        <v>192</v>
      </c>
      <c r="B32" s="13">
        <v>10.0</v>
      </c>
      <c r="C32" s="5"/>
      <c r="D32" s="10"/>
      <c r="E32" s="10"/>
      <c r="F32" s="10"/>
      <c r="J32" s="47"/>
    </row>
    <row r="33">
      <c r="A33" s="1"/>
      <c r="B33" s="1"/>
      <c r="C33" s="5"/>
      <c r="D33" s="46"/>
      <c r="E33" s="46"/>
      <c r="F33" s="46"/>
      <c r="G33" s="47"/>
      <c r="H33" s="47"/>
      <c r="I33" s="47"/>
      <c r="J33" s="47"/>
      <c r="K33" s="48"/>
    </row>
    <row r="34">
      <c r="A34" s="1" t="s">
        <v>193</v>
      </c>
      <c r="B34" s="1">
        <v>70.0</v>
      </c>
      <c r="C34" s="5"/>
      <c r="D34" s="46"/>
      <c r="E34" s="46"/>
      <c r="F34" s="46"/>
      <c r="G34" s="47"/>
      <c r="H34" s="47"/>
      <c r="I34" s="47"/>
      <c r="J34" s="47"/>
      <c r="K34" s="48"/>
    </row>
    <row r="35">
      <c r="A35" s="1" t="s">
        <v>194</v>
      </c>
      <c r="B35" s="1">
        <v>50.0</v>
      </c>
      <c r="C35" s="5"/>
      <c r="D35" s="46"/>
      <c r="E35" s="46"/>
      <c r="F35" s="46"/>
      <c r="G35" s="47"/>
      <c r="H35" s="47"/>
      <c r="I35" s="47"/>
      <c r="J35" s="47"/>
      <c r="K35" s="48"/>
    </row>
    <row r="36">
      <c r="A36" s="1" t="s">
        <v>195</v>
      </c>
      <c r="B36" s="1">
        <v>30.0</v>
      </c>
      <c r="C36" s="5"/>
      <c r="D36" s="46"/>
      <c r="E36" s="46"/>
      <c r="F36" s="46"/>
      <c r="G36" s="47"/>
      <c r="H36" s="47"/>
      <c r="I36" s="47"/>
      <c r="J36" s="47"/>
      <c r="K36" s="48"/>
    </row>
    <row r="37">
      <c r="A37" s="1" t="s">
        <v>196</v>
      </c>
      <c r="B37" s="1">
        <v>46.0</v>
      </c>
      <c r="C37" s="5"/>
      <c r="D37" s="10"/>
      <c r="E37" s="10"/>
      <c r="F37" s="46"/>
      <c r="G37" s="47"/>
      <c r="H37" s="47"/>
      <c r="K37" s="48"/>
    </row>
    <row r="38">
      <c r="A38" s="1" t="s">
        <v>197</v>
      </c>
      <c r="B38" s="1">
        <v>7.0</v>
      </c>
      <c r="C38" s="5"/>
      <c r="D38" s="10"/>
      <c r="E38" s="45"/>
      <c r="F38" s="45"/>
      <c r="H38" s="47"/>
      <c r="K38" s="48"/>
    </row>
    <row r="39">
      <c r="A39" s="1" t="s">
        <v>198</v>
      </c>
      <c r="B39" s="1">
        <v>20.0</v>
      </c>
      <c r="C39" s="5"/>
      <c r="D39" s="46"/>
      <c r="E39" s="46"/>
      <c r="F39" s="46"/>
      <c r="G39" s="47"/>
      <c r="H39" s="47"/>
      <c r="I39" s="47"/>
      <c r="J39" s="47"/>
      <c r="K39" s="48"/>
    </row>
    <row r="40">
      <c r="A40" s="1" t="s">
        <v>199</v>
      </c>
      <c r="B40" s="1">
        <v>110.0</v>
      </c>
      <c r="C40" s="5"/>
      <c r="D40" s="46"/>
      <c r="E40" s="46"/>
      <c r="F40" s="46"/>
      <c r="G40" s="47"/>
      <c r="H40" s="47"/>
      <c r="I40" s="47"/>
      <c r="J40" s="47"/>
      <c r="K40" s="48"/>
    </row>
    <row r="41">
      <c r="A41" s="1" t="s">
        <v>200</v>
      </c>
      <c r="B41" s="1">
        <v>100.0</v>
      </c>
      <c r="C41" s="5"/>
      <c r="D41" s="46"/>
      <c r="E41" s="46"/>
      <c r="F41" s="46"/>
      <c r="G41" s="47"/>
      <c r="H41" s="47"/>
      <c r="I41" s="47"/>
      <c r="J41" s="47"/>
      <c r="K41" s="48"/>
    </row>
    <row r="42">
      <c r="A42" s="1" t="s">
        <v>201</v>
      </c>
      <c r="B42" s="1">
        <v>30.0</v>
      </c>
      <c r="C42" s="5"/>
      <c r="D42" s="46"/>
      <c r="E42" s="46"/>
      <c r="F42" s="46"/>
      <c r="G42" s="47"/>
      <c r="H42" s="47"/>
      <c r="I42" s="47"/>
      <c r="J42" s="47"/>
      <c r="K42" s="48"/>
    </row>
    <row r="43">
      <c r="A43" s="1" t="s">
        <v>202</v>
      </c>
      <c r="B43" s="13">
        <v>40.0</v>
      </c>
      <c r="C43" s="65"/>
      <c r="D43" s="46"/>
      <c r="E43" s="46"/>
      <c r="F43" s="46"/>
      <c r="G43" s="47"/>
      <c r="H43" s="47"/>
      <c r="I43" s="44"/>
      <c r="J43" s="44"/>
      <c r="K43" s="48"/>
    </row>
    <row r="44">
      <c r="A44" s="1" t="s">
        <v>203</v>
      </c>
      <c r="B44" s="1">
        <v>10.0</v>
      </c>
      <c r="C44" s="65"/>
      <c r="D44" s="46"/>
      <c r="E44" s="46"/>
      <c r="F44" s="46"/>
      <c r="G44" s="47"/>
      <c r="H44" s="47"/>
      <c r="I44" s="47"/>
      <c r="J44" s="47"/>
      <c r="K44" s="48"/>
    </row>
    <row r="45">
      <c r="A45" s="1" t="s">
        <v>204</v>
      </c>
      <c r="B45" s="1">
        <v>10.0</v>
      </c>
      <c r="C45" s="5"/>
      <c r="D45" s="46"/>
      <c r="E45" s="46"/>
      <c r="F45" s="46"/>
      <c r="G45" s="47"/>
      <c r="H45" s="47"/>
      <c r="I45" s="44"/>
      <c r="J45" s="44"/>
      <c r="K45" s="48"/>
    </row>
    <row r="46">
      <c r="A46" s="1" t="s">
        <v>205</v>
      </c>
      <c r="B46" s="13">
        <v>47.0</v>
      </c>
      <c r="C46" s="5"/>
      <c r="D46" s="10"/>
      <c r="E46" s="10"/>
      <c r="F46" s="10"/>
    </row>
    <row r="47">
      <c r="A47" s="1" t="s">
        <v>206</v>
      </c>
      <c r="B47" s="1">
        <v>61.0</v>
      </c>
      <c r="C47" s="5"/>
      <c r="D47" s="46"/>
      <c r="E47" s="46"/>
      <c r="F47" s="46"/>
      <c r="G47" s="47"/>
      <c r="H47" s="47"/>
      <c r="I47" s="47"/>
      <c r="J47" s="47"/>
      <c r="K47" s="48"/>
    </row>
    <row r="48">
      <c r="B48" s="13"/>
      <c r="C48" s="5"/>
      <c r="D48" s="10"/>
      <c r="E48" s="10"/>
      <c r="F48" s="10"/>
    </row>
    <row r="49">
      <c r="A49" s="1" t="s">
        <v>207</v>
      </c>
      <c r="B49" s="13">
        <v>40.0</v>
      </c>
      <c r="C49" s="5"/>
      <c r="D49" s="10"/>
      <c r="E49" s="10"/>
      <c r="F49" s="10"/>
    </row>
    <row r="50">
      <c r="A50" s="1" t="s">
        <v>208</v>
      </c>
      <c r="B50" s="13">
        <v>6.0</v>
      </c>
      <c r="C50" s="13"/>
      <c r="D50" s="10"/>
      <c r="E50" s="46"/>
      <c r="F50" s="46"/>
      <c r="G50" s="47"/>
      <c r="H50" s="47"/>
      <c r="K50" s="48"/>
    </row>
    <row r="51">
      <c r="A51" s="1" t="s">
        <v>209</v>
      </c>
      <c r="B51" s="13">
        <v>10.0</v>
      </c>
      <c r="C51" s="13"/>
      <c r="D51" s="10"/>
      <c r="E51" s="46"/>
      <c r="F51" s="46"/>
      <c r="G51" s="47"/>
      <c r="H51" s="47"/>
      <c r="K51" s="48"/>
    </row>
    <row r="52">
      <c r="A52" s="1" t="s">
        <v>210</v>
      </c>
      <c r="B52" s="13">
        <v>60.0</v>
      </c>
      <c r="C52" s="5"/>
      <c r="D52" s="10"/>
      <c r="E52" s="46"/>
      <c r="F52" s="46"/>
      <c r="G52" s="47"/>
      <c r="H52" s="47"/>
      <c r="K52" s="48"/>
    </row>
    <row r="53">
      <c r="A53" s="1" t="s">
        <v>211</v>
      </c>
      <c r="B53" s="13">
        <v>80.0</v>
      </c>
      <c r="C53" s="5"/>
      <c r="D53" s="10"/>
      <c r="E53" s="46"/>
      <c r="F53" s="46"/>
      <c r="G53" s="47"/>
      <c r="H53" s="47"/>
      <c r="K53" s="48"/>
    </row>
    <row r="54">
      <c r="A54" s="1" t="s">
        <v>212</v>
      </c>
      <c r="B54" s="1">
        <v>10.0</v>
      </c>
      <c r="C54" s="65"/>
      <c r="D54" s="46"/>
      <c r="E54" s="46"/>
      <c r="F54" s="46"/>
      <c r="G54" s="47"/>
      <c r="H54" s="47"/>
      <c r="I54" s="47"/>
      <c r="J54" s="47"/>
      <c r="K54" s="48"/>
    </row>
    <row r="55">
      <c r="D55" s="16"/>
      <c r="E55" s="16"/>
      <c r="F55" s="39"/>
      <c r="G55" s="40"/>
      <c r="H55" s="41"/>
      <c r="I55" s="42"/>
      <c r="J55" s="43"/>
    </row>
    <row r="56">
      <c r="D56" s="16"/>
      <c r="E56" s="16"/>
      <c r="F56" s="39"/>
      <c r="G56" s="40"/>
      <c r="H56" s="43"/>
      <c r="I56" s="42"/>
    </row>
    <row r="57">
      <c r="A57" s="44"/>
      <c r="D57" s="16"/>
      <c r="E57" s="16"/>
      <c r="F57" s="39"/>
      <c r="G57" s="40"/>
      <c r="H57" s="40"/>
      <c r="I57" s="41"/>
      <c r="M57" s="44"/>
    </row>
    <row r="58">
      <c r="D58" s="16"/>
      <c r="E58" s="16"/>
      <c r="F58" s="39"/>
      <c r="G58" s="40"/>
      <c r="H58" s="40"/>
      <c r="I58" s="41"/>
      <c r="M58" s="44"/>
    </row>
    <row r="59">
      <c r="D59" s="16"/>
      <c r="E59" s="16"/>
      <c r="F59" s="45"/>
      <c r="J59" s="44"/>
    </row>
    <row r="60">
      <c r="A60" s="44"/>
      <c r="D60" s="16"/>
      <c r="E60" s="16"/>
      <c r="F60" s="39"/>
      <c r="G60" s="40"/>
      <c r="H60" s="43"/>
      <c r="I60" s="42"/>
    </row>
    <row r="61">
      <c r="A61" s="44"/>
      <c r="D61" s="16"/>
      <c r="E61" s="50"/>
      <c r="F61" s="50"/>
      <c r="G61" s="43"/>
      <c r="H61" s="42"/>
      <c r="I61" s="41"/>
      <c r="M61" s="44"/>
    </row>
    <row r="62">
      <c r="A62" s="44"/>
      <c r="D62" s="16"/>
      <c r="E62" s="50"/>
      <c r="F62" s="50"/>
      <c r="G62" s="43"/>
      <c r="H62" s="42"/>
      <c r="I62" s="41"/>
      <c r="M62" s="44"/>
    </row>
    <row r="63">
      <c r="A63" s="44"/>
      <c r="D63" s="16"/>
      <c r="E63" s="50"/>
      <c r="F63" s="39"/>
      <c r="G63" s="40"/>
      <c r="H63" s="42"/>
      <c r="I63" s="42"/>
    </row>
    <row r="64">
      <c r="D64" s="16"/>
      <c r="E64" s="50"/>
      <c r="F64" s="39"/>
      <c r="G64" s="40"/>
      <c r="H64" s="42"/>
      <c r="I64" s="42"/>
    </row>
    <row r="65">
      <c r="A65" s="16"/>
      <c r="D65" s="10"/>
      <c r="E65" s="49"/>
      <c r="F65" s="51"/>
      <c r="G65" s="52"/>
      <c r="H65" s="42"/>
      <c r="I65" s="42"/>
    </row>
    <row r="66">
      <c r="D66" s="10"/>
      <c r="E66" s="49"/>
      <c r="F66" s="51"/>
      <c r="G66" s="52"/>
      <c r="H66" s="42"/>
      <c r="I66" s="42"/>
    </row>
    <row r="67">
      <c r="C67" s="5"/>
      <c r="D67" s="10"/>
      <c r="E67" s="10"/>
      <c r="F67" s="10"/>
    </row>
    <row r="68">
      <c r="C68" s="5"/>
      <c r="D68" s="10"/>
      <c r="E68" s="10"/>
      <c r="F68" s="10"/>
    </row>
    <row r="69">
      <c r="B69" s="13"/>
      <c r="C69" s="5"/>
      <c r="D69" s="10"/>
      <c r="E69" s="10"/>
      <c r="F69" s="10"/>
    </row>
    <row r="70">
      <c r="B70" s="13"/>
      <c r="C70" s="5"/>
      <c r="D70" s="10"/>
      <c r="E70" s="10"/>
      <c r="F70" s="10"/>
    </row>
    <row r="71">
      <c r="D71" s="10"/>
      <c r="E71" s="49"/>
      <c r="F71" s="51"/>
      <c r="G71" s="52"/>
      <c r="H71" s="42"/>
      <c r="I71" s="42"/>
    </row>
    <row r="72">
      <c r="A72" s="45"/>
      <c r="B72" s="13"/>
      <c r="C72" s="5"/>
      <c r="D72" s="10"/>
      <c r="E72" s="10"/>
      <c r="F72" s="10"/>
      <c r="J72" s="47"/>
    </row>
    <row r="73">
      <c r="B73" s="13"/>
      <c r="C73" s="5"/>
      <c r="D73" s="10"/>
      <c r="E73" s="10"/>
      <c r="F73" s="10"/>
    </row>
    <row r="74">
      <c r="D74" s="46"/>
      <c r="E74" s="46"/>
      <c r="F74" s="46"/>
      <c r="G74" s="47"/>
      <c r="H74" s="47"/>
      <c r="I74" s="47"/>
      <c r="K74" s="48"/>
    </row>
    <row r="75">
      <c r="A75" s="44"/>
      <c r="B75" s="13"/>
      <c r="C75" s="5"/>
      <c r="D75" s="10"/>
      <c r="E75" s="10"/>
      <c r="F75" s="10"/>
    </row>
    <row r="76">
      <c r="A76" s="44"/>
      <c r="B76" s="13"/>
      <c r="C76" s="5"/>
      <c r="D76" s="10"/>
      <c r="E76" s="10"/>
      <c r="F76" s="10"/>
    </row>
    <row r="77">
      <c r="B77" s="13"/>
      <c r="C77" s="5"/>
      <c r="D77" s="10"/>
      <c r="E77" s="10"/>
      <c r="F77" s="10"/>
    </row>
    <row r="78">
      <c r="B78" s="13"/>
      <c r="C78" s="5"/>
      <c r="D78" s="10"/>
      <c r="E78" s="10"/>
      <c r="F78" s="10"/>
      <c r="J78" s="47"/>
    </row>
    <row r="79">
      <c r="A79" s="1"/>
      <c r="C79" s="5"/>
      <c r="D79" s="46"/>
      <c r="E79" s="46"/>
      <c r="F79" s="46"/>
      <c r="G79" s="47"/>
      <c r="H79" s="47"/>
      <c r="I79" s="47"/>
      <c r="J79" s="47"/>
      <c r="K79" s="48"/>
    </row>
    <row r="80">
      <c r="B80" s="13"/>
      <c r="C80" s="5"/>
      <c r="D80" s="10"/>
      <c r="E80" s="10"/>
      <c r="F80" s="10"/>
    </row>
    <row r="81">
      <c r="B81" s="13"/>
      <c r="C81" s="13"/>
      <c r="D81" s="10"/>
      <c r="E81" s="46"/>
      <c r="F81" s="46"/>
      <c r="G81" s="47"/>
      <c r="H81" s="47"/>
      <c r="K81" s="48"/>
    </row>
    <row r="82">
      <c r="C82" s="5"/>
      <c r="D82" s="10"/>
      <c r="E82" s="10"/>
      <c r="F82" s="10"/>
    </row>
    <row r="83">
      <c r="B83" s="13"/>
      <c r="C83" s="5"/>
      <c r="D83" s="10"/>
      <c r="E83" s="10"/>
      <c r="F83" s="10"/>
    </row>
    <row r="84">
      <c r="D84" s="16"/>
      <c r="E84" s="16"/>
      <c r="F84" s="39"/>
      <c r="G84" s="40"/>
      <c r="H84" s="43"/>
      <c r="I84" s="42"/>
      <c r="J84" s="43"/>
    </row>
    <row r="85">
      <c r="A85" s="44"/>
      <c r="D85" s="10"/>
      <c r="E85" s="16"/>
      <c r="F85" s="50"/>
      <c r="G85" s="40"/>
      <c r="H85" s="40"/>
      <c r="I85" s="42"/>
      <c r="J85" s="44"/>
    </row>
    <row r="86">
      <c r="A86" s="44"/>
      <c r="D86" s="16"/>
      <c r="E86" s="16"/>
      <c r="F86" s="39"/>
      <c r="G86" s="40"/>
      <c r="H86" s="43"/>
      <c r="I86" s="42"/>
      <c r="J86" s="44"/>
    </row>
    <row r="87">
      <c r="A87" s="44"/>
      <c r="D87" s="10"/>
      <c r="E87" s="16"/>
      <c r="F87" s="39"/>
      <c r="G87" s="40"/>
      <c r="H87" s="43"/>
      <c r="I87" s="42"/>
    </row>
    <row r="88">
      <c r="D88" s="16"/>
      <c r="E88" s="50"/>
      <c r="F88" s="50"/>
      <c r="G88" s="43"/>
      <c r="H88" s="43"/>
      <c r="I88" s="41"/>
      <c r="M88" s="44"/>
    </row>
    <row r="89">
      <c r="A89" s="44"/>
      <c r="D89" s="16"/>
      <c r="E89" s="50"/>
      <c r="F89" s="50"/>
      <c r="G89" s="43"/>
      <c r="H89" s="42"/>
      <c r="I89" s="41"/>
      <c r="M89" s="44"/>
    </row>
    <row r="90">
      <c r="A90" s="44"/>
      <c r="D90" s="16"/>
      <c r="E90" s="50"/>
      <c r="F90" s="50"/>
      <c r="G90" s="43"/>
      <c r="H90" s="42"/>
      <c r="I90" s="41"/>
      <c r="M90" s="44"/>
    </row>
    <row r="91">
      <c r="A91" s="44"/>
      <c r="C91" s="5"/>
      <c r="D91" s="10"/>
      <c r="E91" s="10"/>
      <c r="F91" s="10"/>
    </row>
    <row r="92">
      <c r="A92" s="16"/>
      <c r="D92" s="10"/>
      <c r="E92" s="50"/>
      <c r="F92" s="39"/>
      <c r="G92" s="40"/>
      <c r="H92" s="42"/>
      <c r="I92" s="42"/>
    </row>
    <row r="93">
      <c r="B93" s="5"/>
      <c r="C93" s="5"/>
      <c r="D93" s="10"/>
      <c r="E93" s="10"/>
      <c r="F93" s="10"/>
    </row>
    <row r="94">
      <c r="B94" s="5"/>
      <c r="C94" s="5"/>
      <c r="D94" s="10"/>
      <c r="E94" s="10"/>
      <c r="F94" s="10"/>
    </row>
    <row r="95">
      <c r="A95" s="44"/>
      <c r="B95" s="5"/>
      <c r="C95" s="5"/>
      <c r="D95" s="10"/>
      <c r="E95" s="10"/>
      <c r="F95" s="10"/>
    </row>
    <row r="96">
      <c r="A96" s="44"/>
      <c r="B96" s="5"/>
      <c r="C96" s="5"/>
      <c r="D96" s="10"/>
      <c r="E96" s="10"/>
      <c r="F96" s="10"/>
    </row>
    <row r="97">
      <c r="A97" s="16"/>
      <c r="B97" s="5"/>
      <c r="C97" s="5"/>
      <c r="D97" s="10"/>
      <c r="E97" s="10"/>
      <c r="F97" s="10"/>
    </row>
    <row r="98">
      <c r="A98" s="44"/>
      <c r="B98" s="5"/>
      <c r="C98" s="5"/>
      <c r="D98" s="10"/>
      <c r="E98" s="10"/>
      <c r="F98" s="10"/>
    </row>
    <row r="99">
      <c r="A99" s="44"/>
      <c r="B99" s="5"/>
      <c r="C99" s="5"/>
      <c r="D99" s="10"/>
      <c r="E99" s="10"/>
      <c r="F99" s="10"/>
    </row>
    <row r="100">
      <c r="A100" s="16"/>
      <c r="B100" s="5"/>
      <c r="C100" s="5"/>
      <c r="D100" s="10"/>
      <c r="E100" s="10"/>
      <c r="F100" s="10"/>
    </row>
    <row r="101">
      <c r="D101" s="16"/>
      <c r="E101" s="66"/>
      <c r="F101" s="39"/>
      <c r="G101" s="67"/>
      <c r="H101" s="67"/>
      <c r="I101" s="42"/>
    </row>
    <row r="102">
      <c r="A102" s="44"/>
      <c r="D102" s="10"/>
      <c r="E102" s="49"/>
      <c r="F102" s="39"/>
      <c r="G102" s="40"/>
      <c r="H102" s="42"/>
      <c r="I102" s="42"/>
    </row>
    <row r="103">
      <c r="A103" s="44"/>
      <c r="D103" s="10"/>
      <c r="E103" s="49"/>
      <c r="F103" s="39"/>
      <c r="G103" s="40"/>
      <c r="H103" s="42"/>
      <c r="I103" s="42"/>
    </row>
    <row r="104">
      <c r="D104" s="10"/>
      <c r="E104" s="50"/>
      <c r="F104" s="39"/>
      <c r="G104" s="40"/>
      <c r="H104" s="42"/>
      <c r="I104" s="42"/>
    </row>
    <row r="105">
      <c r="A105" s="44"/>
      <c r="B105" s="5"/>
      <c r="C105" s="5"/>
      <c r="D105" s="10"/>
      <c r="E105" s="10"/>
      <c r="F105" s="10"/>
    </row>
    <row r="106">
      <c r="D106" s="10"/>
      <c r="E106" s="49"/>
      <c r="F106" s="51"/>
      <c r="G106" s="52"/>
      <c r="H106" s="42"/>
      <c r="I106" s="42"/>
    </row>
    <row r="107">
      <c r="B107" s="5"/>
      <c r="C107" s="5"/>
      <c r="D107" s="10"/>
      <c r="E107" s="10"/>
      <c r="F107" s="10"/>
    </row>
    <row r="108">
      <c r="A108" s="44"/>
      <c r="B108" s="5"/>
      <c r="C108" s="5"/>
      <c r="D108" s="10"/>
      <c r="E108" s="10"/>
      <c r="F108" s="10"/>
    </row>
    <row r="109">
      <c r="B109" s="5"/>
      <c r="C109" s="5"/>
      <c r="D109" s="10"/>
      <c r="E109" s="10"/>
      <c r="F109" s="10"/>
    </row>
    <row r="110">
      <c r="A110" s="44"/>
      <c r="B110" s="5"/>
      <c r="C110" s="5"/>
      <c r="D110" s="10"/>
      <c r="E110" s="10"/>
      <c r="F110" s="10"/>
    </row>
    <row r="111">
      <c r="D111" s="10"/>
      <c r="E111" s="49"/>
      <c r="F111" s="51"/>
      <c r="G111" s="52"/>
      <c r="H111" s="42"/>
      <c r="I111" s="42"/>
    </row>
    <row r="112">
      <c r="A112" s="45"/>
      <c r="B112" s="13"/>
      <c r="C112" s="5"/>
      <c r="D112" s="10"/>
      <c r="E112" s="10"/>
      <c r="F112" s="10"/>
      <c r="J112" s="47"/>
    </row>
    <row r="113">
      <c r="B113" s="5"/>
      <c r="C113" s="5"/>
      <c r="D113" s="10"/>
      <c r="E113" s="10"/>
      <c r="F113" s="10"/>
    </row>
    <row r="114">
      <c r="B114" s="5"/>
      <c r="C114" s="5"/>
      <c r="D114" s="10"/>
      <c r="E114" s="10"/>
      <c r="F114" s="10"/>
    </row>
    <row r="115">
      <c r="B115" s="5"/>
      <c r="C115" s="5"/>
      <c r="D115" s="10"/>
      <c r="E115" s="10"/>
      <c r="F115" s="10"/>
    </row>
    <row r="116">
      <c r="D116" s="10"/>
      <c r="E116" s="49"/>
      <c r="F116" s="51"/>
      <c r="G116" s="52"/>
      <c r="H116" s="42"/>
      <c r="I116" s="42"/>
    </row>
    <row r="117">
      <c r="B117" s="5"/>
      <c r="C117" s="5"/>
      <c r="D117" s="10"/>
      <c r="E117" s="10"/>
      <c r="F117" s="10"/>
    </row>
    <row r="118">
      <c r="B118" s="5"/>
      <c r="C118" s="5"/>
      <c r="D118" s="10"/>
      <c r="E118" s="10"/>
      <c r="F118" s="10"/>
    </row>
    <row r="119">
      <c r="A119" s="44"/>
      <c r="B119" s="5"/>
      <c r="C119" s="5"/>
      <c r="D119" s="10"/>
      <c r="E119" s="10"/>
      <c r="F119" s="10"/>
    </row>
    <row r="120">
      <c r="A120" s="44"/>
      <c r="B120" s="5"/>
      <c r="C120" s="5"/>
      <c r="D120" s="10"/>
      <c r="E120" s="10"/>
      <c r="F120" s="10"/>
    </row>
    <row r="121">
      <c r="B121" s="5"/>
      <c r="C121" s="5"/>
      <c r="D121" s="10"/>
      <c r="E121" s="10"/>
      <c r="F121" s="10"/>
    </row>
    <row r="122">
      <c r="D122" s="10"/>
      <c r="E122" s="10"/>
      <c r="F122" s="10"/>
    </row>
    <row r="123">
      <c r="B123" s="5"/>
      <c r="C123" s="5"/>
      <c r="D123" s="10"/>
      <c r="E123" s="10"/>
      <c r="F123" s="10"/>
    </row>
    <row r="124">
      <c r="D124" s="10"/>
      <c r="E124" s="10"/>
      <c r="F124" s="10"/>
    </row>
    <row r="125">
      <c r="B125" s="5"/>
      <c r="C125" s="5"/>
      <c r="D125" s="10"/>
      <c r="E125" s="10"/>
      <c r="F125" s="10"/>
    </row>
    <row r="126">
      <c r="D126" s="10"/>
      <c r="E126" s="10"/>
      <c r="F126" s="10"/>
    </row>
    <row r="127">
      <c r="B127" s="5"/>
      <c r="C127" s="5"/>
      <c r="D127" s="10"/>
      <c r="E127" s="10"/>
      <c r="F127" s="10"/>
    </row>
    <row r="128">
      <c r="C128" s="5"/>
      <c r="D128" s="10"/>
      <c r="E128" s="10"/>
      <c r="F128" s="10"/>
    </row>
    <row r="129">
      <c r="C129" s="5"/>
      <c r="D129" s="10"/>
      <c r="E129" s="10"/>
      <c r="F129" s="10"/>
    </row>
    <row r="130">
      <c r="B130" s="5"/>
      <c r="C130" s="5"/>
      <c r="D130" s="10"/>
      <c r="E130" s="10"/>
      <c r="F130" s="10"/>
    </row>
    <row r="131">
      <c r="B131" s="5"/>
      <c r="C131" s="5"/>
      <c r="D131" s="10"/>
      <c r="E131" s="10"/>
      <c r="F131" s="10"/>
    </row>
    <row r="132">
      <c r="B132" s="5"/>
      <c r="C132" s="5"/>
      <c r="D132" s="10"/>
      <c r="E132" s="10"/>
      <c r="F132" s="10"/>
    </row>
    <row r="133">
      <c r="B133" s="5"/>
      <c r="C133" s="5"/>
      <c r="D133" s="10"/>
      <c r="E133" s="10"/>
      <c r="F133" s="10"/>
    </row>
    <row r="134">
      <c r="A134" s="1"/>
      <c r="C134" s="5"/>
      <c r="D134" s="46"/>
      <c r="E134" s="46"/>
      <c r="F134" s="46"/>
      <c r="G134" s="47"/>
      <c r="H134" s="47"/>
      <c r="K134" s="48"/>
    </row>
    <row r="135">
      <c r="C135" s="5"/>
      <c r="D135" s="46"/>
      <c r="E135" s="46"/>
      <c r="F135" s="46"/>
      <c r="G135" s="47"/>
      <c r="H135" s="47"/>
      <c r="K135" s="48"/>
    </row>
    <row r="136">
      <c r="C136" s="5"/>
      <c r="D136" s="46"/>
      <c r="E136" s="46"/>
      <c r="F136" s="46"/>
      <c r="G136" s="47"/>
      <c r="H136" s="47"/>
      <c r="I136" s="47"/>
      <c r="J136" s="47"/>
      <c r="K136" s="48"/>
    </row>
    <row r="137">
      <c r="B137" s="5"/>
      <c r="C137" s="5"/>
      <c r="D137" s="10"/>
      <c r="E137" s="10"/>
      <c r="F137" s="10"/>
    </row>
    <row r="138">
      <c r="B138" s="5"/>
      <c r="C138" s="5"/>
      <c r="D138" s="10"/>
      <c r="E138" s="10"/>
      <c r="F138" s="10"/>
    </row>
    <row r="139">
      <c r="B139" s="5"/>
      <c r="C139" s="5"/>
      <c r="D139" s="10"/>
      <c r="E139" s="10"/>
      <c r="F139" s="10"/>
    </row>
    <row r="140">
      <c r="C140" s="5"/>
      <c r="D140" s="10"/>
      <c r="E140" s="46"/>
      <c r="F140" s="46"/>
      <c r="G140" s="47"/>
      <c r="H140" s="47"/>
      <c r="K140" s="48"/>
    </row>
    <row r="141">
      <c r="C141" s="5"/>
      <c r="D141" s="46"/>
      <c r="E141" s="46"/>
      <c r="F141" s="46"/>
      <c r="G141" s="47"/>
      <c r="H141" s="47"/>
      <c r="I141" s="47"/>
      <c r="J141" s="47"/>
      <c r="K141" s="48"/>
    </row>
    <row r="142">
      <c r="C142" s="5"/>
      <c r="D142" s="46"/>
      <c r="E142" s="46"/>
      <c r="F142" s="46"/>
      <c r="G142" s="47"/>
      <c r="H142" s="47"/>
      <c r="I142" s="47"/>
      <c r="J142" s="47"/>
      <c r="K142" s="48"/>
    </row>
    <row r="143">
      <c r="B143" s="5"/>
      <c r="C143" s="65"/>
      <c r="D143" s="46"/>
      <c r="E143" s="46"/>
      <c r="F143" s="46"/>
      <c r="G143" s="47"/>
      <c r="H143" s="47"/>
      <c r="I143" s="44"/>
      <c r="J143" s="44"/>
      <c r="K143" s="48"/>
    </row>
    <row r="144">
      <c r="C144" s="5"/>
      <c r="D144" s="46"/>
      <c r="E144" s="46"/>
      <c r="F144" s="46"/>
      <c r="G144" s="47"/>
      <c r="H144" s="47"/>
      <c r="I144" s="44"/>
      <c r="J144" s="44"/>
      <c r="K144" s="48"/>
    </row>
    <row r="145">
      <c r="C145" s="5"/>
      <c r="D145" s="10"/>
      <c r="E145" s="10"/>
      <c r="F145" s="10"/>
    </row>
    <row r="146">
      <c r="C146" s="5"/>
      <c r="D146" s="10"/>
      <c r="E146" s="10"/>
      <c r="F146" s="10"/>
    </row>
    <row r="147">
      <c r="B147" s="13"/>
      <c r="C147" s="13"/>
      <c r="D147" s="10"/>
      <c r="E147" s="46"/>
      <c r="F147" s="46"/>
      <c r="G147" s="47"/>
      <c r="H147" s="47"/>
      <c r="K147" s="48"/>
    </row>
    <row r="148">
      <c r="B148" s="5"/>
      <c r="C148" s="5"/>
      <c r="D148" s="10"/>
      <c r="E148" s="46"/>
      <c r="F148" s="46"/>
      <c r="G148" s="47"/>
      <c r="H148" s="47"/>
      <c r="K148" s="48"/>
    </row>
    <row r="149">
      <c r="B149" s="13"/>
      <c r="C149" s="13"/>
      <c r="D149" s="10"/>
      <c r="E149" s="46"/>
      <c r="F149" s="46"/>
      <c r="G149" s="47"/>
      <c r="H149" s="47"/>
      <c r="K149" s="48"/>
    </row>
    <row r="150">
      <c r="B150" s="13"/>
      <c r="C150" s="13"/>
      <c r="D150" s="10"/>
      <c r="E150" s="46"/>
      <c r="F150" s="46"/>
      <c r="G150" s="47"/>
      <c r="H150" s="47"/>
      <c r="K150" s="48"/>
    </row>
    <row r="151">
      <c r="C151" s="5"/>
      <c r="D151" s="46"/>
      <c r="E151" s="46"/>
      <c r="F151" s="46"/>
      <c r="G151" s="47"/>
      <c r="H151" s="47"/>
      <c r="I151" s="47"/>
      <c r="J151" s="47"/>
      <c r="K151" s="48"/>
    </row>
    <row r="152">
      <c r="C152" s="5"/>
      <c r="D152" s="68"/>
      <c r="E152" s="68"/>
      <c r="F152" s="68"/>
      <c r="G152" s="69"/>
      <c r="H152" s="69"/>
      <c r="I152" s="69"/>
      <c r="J152" s="69"/>
      <c r="K152" s="70"/>
    </row>
    <row r="153">
      <c r="B153" s="5"/>
      <c r="C153" s="5"/>
      <c r="D153" s="10"/>
      <c r="E153" s="10"/>
      <c r="F153" s="10"/>
    </row>
    <row r="154">
      <c r="E154" s="50"/>
      <c r="F154" s="50"/>
      <c r="G154" s="43"/>
      <c r="H154" s="42"/>
      <c r="I154" s="42"/>
      <c r="J154" s="1"/>
    </row>
    <row r="155">
      <c r="A155" s="71"/>
      <c r="B155" s="5"/>
      <c r="C155" s="5"/>
      <c r="D155" s="10"/>
      <c r="E155" s="10"/>
      <c r="F155" s="10"/>
    </row>
    <row r="156">
      <c r="A156" s="71"/>
      <c r="B156" s="5"/>
      <c r="C156" s="5"/>
      <c r="D156" s="10"/>
      <c r="E156" s="10"/>
      <c r="F156" s="10"/>
    </row>
    <row r="157">
      <c r="A157" s="71"/>
      <c r="B157" s="5"/>
      <c r="C157" s="5"/>
      <c r="D157" s="10"/>
      <c r="E157" s="10"/>
      <c r="F157" s="10"/>
    </row>
    <row r="158">
      <c r="D158" s="46"/>
      <c r="E158" s="46"/>
      <c r="F158" s="46"/>
      <c r="G158" s="47"/>
      <c r="H158" s="47"/>
      <c r="I158" s="47"/>
      <c r="K158" s="48"/>
    </row>
    <row r="159">
      <c r="D159" s="10"/>
      <c r="E159" s="50"/>
      <c r="F159" s="39"/>
      <c r="G159" s="40"/>
      <c r="H159" s="42"/>
      <c r="I159" s="42"/>
    </row>
    <row r="160">
      <c r="D160" s="10"/>
      <c r="E160" s="49"/>
      <c r="F160" s="51"/>
      <c r="G160" s="52"/>
      <c r="H160" s="42"/>
      <c r="I160" s="42"/>
    </row>
    <row r="161">
      <c r="D161" s="10"/>
      <c r="E161" s="49"/>
      <c r="F161" s="51"/>
      <c r="G161" s="52"/>
      <c r="H161" s="42"/>
      <c r="I161" s="42"/>
    </row>
    <row r="162">
      <c r="D162" s="10"/>
      <c r="E162" s="49"/>
      <c r="F162" s="51"/>
      <c r="G162" s="52"/>
      <c r="H162" s="42"/>
      <c r="I162" s="42"/>
    </row>
    <row r="163">
      <c r="D163" s="10"/>
      <c r="E163" s="49"/>
      <c r="F163" s="51"/>
      <c r="G163" s="52"/>
      <c r="H163" s="42"/>
      <c r="I163" s="42"/>
      <c r="J163" s="47"/>
    </row>
    <row r="164">
      <c r="A164" s="44"/>
      <c r="D164" s="10"/>
      <c r="E164" s="49"/>
      <c r="F164" s="51"/>
      <c r="G164" s="52"/>
      <c r="H164" s="42"/>
      <c r="I164" s="42"/>
      <c r="J164" s="47"/>
    </row>
    <row r="165">
      <c r="A165" s="44"/>
      <c r="D165" s="10"/>
      <c r="E165" s="49"/>
      <c r="F165" s="51"/>
      <c r="G165" s="52"/>
      <c r="H165" s="42"/>
      <c r="I165" s="42"/>
      <c r="J165" s="47"/>
    </row>
    <row r="166">
      <c r="D166" s="46"/>
      <c r="E166" s="46"/>
      <c r="F166" s="46"/>
      <c r="G166" s="47"/>
      <c r="H166" s="47"/>
      <c r="I166" s="47"/>
      <c r="J166" s="47"/>
      <c r="K166" s="48"/>
    </row>
    <row r="167">
      <c r="A167" s="45"/>
      <c r="B167" s="13"/>
      <c r="C167" s="5"/>
      <c r="D167" s="10"/>
      <c r="E167" s="10"/>
      <c r="F167" s="10"/>
      <c r="J167" s="47"/>
    </row>
    <row r="168">
      <c r="A168" s="16"/>
      <c r="C168" s="5"/>
      <c r="D168" s="10"/>
      <c r="E168" s="10"/>
      <c r="F168" s="10"/>
      <c r="J168" s="47"/>
    </row>
    <row r="169">
      <c r="A169" s="16"/>
      <c r="C169" s="5"/>
      <c r="D169" s="10"/>
      <c r="E169" s="10"/>
      <c r="F169" s="10"/>
      <c r="J169" s="47"/>
    </row>
    <row r="170">
      <c r="A170" s="1"/>
      <c r="C170" s="5"/>
      <c r="D170" s="10"/>
      <c r="E170" s="10"/>
      <c r="F170" s="10"/>
      <c r="J170" s="47"/>
    </row>
    <row r="171">
      <c r="A171" s="44"/>
      <c r="B171" s="13"/>
      <c r="C171" s="5"/>
      <c r="D171" s="10"/>
      <c r="E171" s="45"/>
      <c r="F171" s="45"/>
      <c r="G171" s="44"/>
      <c r="H171" s="44"/>
      <c r="K171" s="48"/>
    </row>
    <row r="172">
      <c r="B172" s="5"/>
      <c r="C172" s="5"/>
      <c r="D172" s="10"/>
      <c r="E172" s="10"/>
      <c r="F172" s="10"/>
      <c r="G172" s="44"/>
      <c r="H172" s="47"/>
      <c r="K172" s="48"/>
    </row>
    <row r="173">
      <c r="C173" s="5"/>
      <c r="D173" s="10"/>
      <c r="E173" s="10"/>
      <c r="F173" s="10"/>
    </row>
    <row r="174">
      <c r="B174" s="5"/>
      <c r="C174" s="5"/>
      <c r="D174" s="10"/>
      <c r="E174" s="10"/>
      <c r="F174" s="10"/>
    </row>
    <row r="175">
      <c r="C175" s="5"/>
      <c r="D175" s="10"/>
      <c r="E175" s="10"/>
      <c r="F175" s="10"/>
    </row>
    <row r="176">
      <c r="B176" s="5"/>
      <c r="C176" s="5"/>
      <c r="D176" s="10"/>
      <c r="E176" s="10"/>
      <c r="F176" s="10"/>
    </row>
    <row r="177">
      <c r="B177" s="5"/>
      <c r="C177" s="5"/>
      <c r="D177" s="10"/>
      <c r="E177" s="10"/>
      <c r="F177" s="10"/>
    </row>
    <row r="178">
      <c r="B178" s="5"/>
      <c r="C178" s="5"/>
      <c r="D178" s="10"/>
      <c r="E178" s="10"/>
      <c r="F178" s="10"/>
    </row>
    <row r="179">
      <c r="B179" s="5"/>
      <c r="C179" s="5"/>
      <c r="D179" s="10"/>
      <c r="E179" s="10"/>
      <c r="F179" s="10"/>
    </row>
    <row r="180">
      <c r="B180" s="5"/>
      <c r="C180" s="5"/>
      <c r="D180" s="10"/>
      <c r="E180" s="10"/>
      <c r="F180" s="10"/>
    </row>
    <row r="181">
      <c r="B181" s="5"/>
      <c r="C181" s="5"/>
      <c r="D181" s="10"/>
      <c r="E181" s="10"/>
      <c r="F181" s="10"/>
    </row>
    <row r="182">
      <c r="B182" s="5"/>
      <c r="C182" s="5"/>
      <c r="D182" s="10"/>
      <c r="E182" s="10"/>
      <c r="F182" s="10"/>
    </row>
    <row r="183">
      <c r="B183" s="5"/>
      <c r="C183" s="5"/>
      <c r="D183" s="10"/>
      <c r="E183" s="10"/>
      <c r="F183" s="10"/>
    </row>
    <row r="184">
      <c r="B184" s="5"/>
      <c r="C184" s="5"/>
      <c r="D184" s="10"/>
      <c r="E184" s="10"/>
      <c r="F184" s="10"/>
    </row>
    <row r="185">
      <c r="B185" s="5"/>
      <c r="C185" s="5"/>
      <c r="D185" s="10"/>
      <c r="E185" s="10"/>
      <c r="F185" s="10"/>
    </row>
    <row r="186">
      <c r="B186" s="5"/>
      <c r="C186" s="5"/>
      <c r="D186" s="10"/>
      <c r="E186" s="10"/>
      <c r="F186" s="10"/>
    </row>
    <row r="187">
      <c r="B187" s="5"/>
      <c r="C187" s="5"/>
      <c r="D187" s="10"/>
      <c r="E187" s="10"/>
      <c r="F187" s="10"/>
    </row>
    <row r="188">
      <c r="B188" s="5"/>
      <c r="C188" s="5"/>
      <c r="D188" s="10"/>
      <c r="E188" s="10"/>
      <c r="F188" s="10"/>
    </row>
    <row r="189">
      <c r="B189" s="5"/>
      <c r="C189" s="5"/>
      <c r="D189" s="10"/>
      <c r="E189" s="10"/>
      <c r="F189" s="10"/>
    </row>
    <row r="190">
      <c r="B190" s="5"/>
      <c r="C190" s="5"/>
      <c r="D190" s="10"/>
      <c r="E190" s="10"/>
      <c r="F190" s="10"/>
    </row>
    <row r="191">
      <c r="B191" s="5"/>
      <c r="C191" s="5"/>
      <c r="D191" s="10"/>
      <c r="E191" s="10"/>
      <c r="F191" s="10"/>
    </row>
    <row r="192">
      <c r="B192" s="5"/>
      <c r="C192" s="5"/>
      <c r="D192" s="10"/>
      <c r="E192" s="10"/>
      <c r="F192" s="10"/>
    </row>
    <row r="193">
      <c r="B193" s="5"/>
      <c r="C193" s="5"/>
      <c r="D193" s="10"/>
      <c r="E193" s="10"/>
      <c r="F193" s="10"/>
    </row>
    <row r="194">
      <c r="B194" s="5"/>
      <c r="C194" s="5"/>
      <c r="D194" s="10"/>
      <c r="E194" s="10"/>
      <c r="F194" s="10"/>
    </row>
    <row r="195">
      <c r="B195" s="5"/>
      <c r="C195" s="5"/>
      <c r="D195" s="10"/>
      <c r="E195" s="10"/>
      <c r="F195" s="10"/>
    </row>
    <row r="196">
      <c r="B196" s="5"/>
      <c r="C196" s="5"/>
      <c r="D196" s="10"/>
      <c r="E196" s="10"/>
      <c r="F196" s="10"/>
    </row>
    <row r="197">
      <c r="B197" s="5"/>
      <c r="C197" s="5"/>
      <c r="D197" s="10"/>
      <c r="E197" s="10"/>
      <c r="F197" s="10"/>
    </row>
    <row r="198">
      <c r="B198" s="5"/>
      <c r="C198" s="5"/>
      <c r="D198" s="10"/>
      <c r="E198" s="10"/>
      <c r="F198" s="10"/>
    </row>
    <row r="199">
      <c r="B199" s="5"/>
      <c r="C199" s="5"/>
      <c r="D199" s="10"/>
      <c r="E199" s="10"/>
      <c r="F199" s="10"/>
    </row>
    <row r="200">
      <c r="B200" s="5"/>
      <c r="C200" s="5"/>
      <c r="D200" s="10"/>
      <c r="E200" s="10"/>
      <c r="F200" s="10"/>
    </row>
    <row r="201">
      <c r="B201" s="5"/>
      <c r="C201" s="5"/>
      <c r="D201" s="10"/>
      <c r="E201" s="10"/>
      <c r="F201" s="10"/>
    </row>
    <row r="202">
      <c r="B202" s="5"/>
      <c r="C202" s="5"/>
      <c r="D202" s="10"/>
      <c r="E202" s="10"/>
      <c r="F202" s="10"/>
    </row>
    <row r="203">
      <c r="B203" s="5"/>
      <c r="C203" s="5"/>
      <c r="D203" s="10"/>
      <c r="E203" s="10"/>
      <c r="F203" s="10"/>
    </row>
    <row r="204">
      <c r="B204" s="5"/>
      <c r="C204" s="5"/>
      <c r="D204" s="10"/>
      <c r="E204" s="10"/>
      <c r="F204" s="10"/>
    </row>
    <row r="205">
      <c r="B205" s="5"/>
      <c r="C205" s="5"/>
      <c r="D205" s="10"/>
      <c r="E205" s="10"/>
      <c r="F205" s="10"/>
    </row>
    <row r="206">
      <c r="B206" s="5"/>
      <c r="C206" s="5"/>
      <c r="D206" s="10"/>
      <c r="E206" s="10"/>
      <c r="F206" s="10"/>
    </row>
    <row r="207">
      <c r="B207" s="5"/>
      <c r="C207" s="5"/>
      <c r="D207" s="10"/>
      <c r="E207" s="10"/>
      <c r="F207" s="10"/>
    </row>
    <row r="208">
      <c r="B208" s="5"/>
      <c r="C208" s="5"/>
      <c r="D208" s="10"/>
      <c r="E208" s="10"/>
      <c r="F208" s="10"/>
    </row>
    <row r="209">
      <c r="B209" s="5"/>
      <c r="C209" s="5"/>
      <c r="D209" s="10"/>
      <c r="E209" s="10"/>
      <c r="F209" s="10"/>
    </row>
    <row r="210">
      <c r="B210" s="5"/>
      <c r="C210" s="5"/>
      <c r="D210" s="10"/>
      <c r="E210" s="10"/>
      <c r="F210" s="10"/>
    </row>
    <row r="211">
      <c r="B211" s="5"/>
      <c r="C211" s="5"/>
      <c r="D211" s="10"/>
      <c r="E211" s="10"/>
      <c r="F211" s="10"/>
    </row>
    <row r="212">
      <c r="B212" s="5"/>
      <c r="C212" s="5"/>
      <c r="D212" s="10"/>
      <c r="E212" s="10"/>
      <c r="F212" s="10"/>
    </row>
    <row r="213">
      <c r="B213" s="5"/>
      <c r="C213" s="5"/>
      <c r="D213" s="10"/>
      <c r="E213" s="10"/>
      <c r="F213" s="10"/>
    </row>
    <row r="214">
      <c r="B214" s="5"/>
      <c r="C214" s="5"/>
      <c r="D214" s="10"/>
      <c r="E214" s="10"/>
      <c r="F214" s="10"/>
    </row>
    <row r="215">
      <c r="B215" s="5"/>
      <c r="C215" s="5"/>
      <c r="D215" s="10"/>
      <c r="E215" s="10"/>
      <c r="F215" s="10"/>
    </row>
    <row r="216">
      <c r="B216" s="5"/>
      <c r="C216" s="5"/>
      <c r="D216" s="10"/>
      <c r="E216" s="10"/>
      <c r="F216" s="10"/>
    </row>
    <row r="217">
      <c r="B217" s="5"/>
      <c r="C217" s="5"/>
      <c r="D217" s="10"/>
      <c r="E217" s="10"/>
      <c r="F217" s="10"/>
    </row>
    <row r="218">
      <c r="B218" s="5"/>
      <c r="C218" s="5"/>
      <c r="D218" s="10"/>
      <c r="E218" s="10"/>
      <c r="F218" s="10"/>
    </row>
    <row r="219">
      <c r="B219" s="5"/>
      <c r="C219" s="5"/>
      <c r="D219" s="10"/>
      <c r="E219" s="10"/>
      <c r="F219" s="10"/>
    </row>
    <row r="220">
      <c r="B220" s="5"/>
      <c r="C220" s="5"/>
      <c r="D220" s="10"/>
      <c r="E220" s="10"/>
      <c r="F220" s="10"/>
    </row>
    <row r="221">
      <c r="B221" s="5"/>
      <c r="C221" s="5"/>
      <c r="D221" s="10"/>
      <c r="E221" s="10"/>
      <c r="F221" s="10"/>
    </row>
    <row r="222">
      <c r="B222" s="5"/>
      <c r="C222" s="5"/>
      <c r="D222" s="10"/>
      <c r="E222" s="10"/>
      <c r="F222" s="10"/>
    </row>
    <row r="223">
      <c r="B223" s="5"/>
      <c r="C223" s="5"/>
      <c r="D223" s="10"/>
      <c r="E223" s="10"/>
      <c r="F223" s="10"/>
    </row>
    <row r="224">
      <c r="B224" s="5"/>
      <c r="C224" s="5"/>
      <c r="D224" s="10"/>
      <c r="E224" s="10"/>
      <c r="F224" s="10"/>
    </row>
    <row r="225">
      <c r="B225" s="5"/>
      <c r="C225" s="5"/>
      <c r="D225" s="10"/>
      <c r="E225" s="10"/>
      <c r="F225" s="10"/>
    </row>
    <row r="226">
      <c r="B226" s="5"/>
      <c r="C226" s="5"/>
      <c r="D226" s="10"/>
      <c r="E226" s="10"/>
      <c r="F226" s="10"/>
    </row>
    <row r="227">
      <c r="B227" s="5"/>
      <c r="C227" s="5"/>
      <c r="D227" s="10"/>
      <c r="E227" s="10"/>
      <c r="F227" s="10"/>
    </row>
    <row r="228">
      <c r="B228" s="5"/>
      <c r="C228" s="5"/>
      <c r="D228" s="10"/>
      <c r="E228" s="10"/>
      <c r="F228" s="10"/>
    </row>
    <row r="229">
      <c r="B229" s="5"/>
      <c r="C229" s="5"/>
      <c r="D229" s="10"/>
      <c r="E229" s="10"/>
      <c r="F229" s="10"/>
    </row>
    <row r="230">
      <c r="B230" s="5"/>
      <c r="C230" s="5"/>
      <c r="D230" s="10"/>
      <c r="E230" s="10"/>
      <c r="F230" s="10"/>
    </row>
    <row r="231">
      <c r="B231" s="5"/>
      <c r="C231" s="5"/>
      <c r="D231" s="10"/>
      <c r="E231" s="10"/>
      <c r="F231" s="10"/>
    </row>
    <row r="232">
      <c r="B232" s="5"/>
      <c r="C232" s="5"/>
      <c r="D232" s="10"/>
      <c r="E232" s="10"/>
      <c r="F232" s="10"/>
    </row>
    <row r="233">
      <c r="B233" s="5"/>
      <c r="C233" s="5"/>
      <c r="D233" s="10"/>
      <c r="E233" s="10"/>
      <c r="F233" s="10"/>
    </row>
    <row r="234">
      <c r="B234" s="5"/>
      <c r="C234" s="5"/>
      <c r="D234" s="10"/>
      <c r="E234" s="10"/>
      <c r="F234" s="10"/>
    </row>
    <row r="235">
      <c r="B235" s="5"/>
      <c r="C235" s="5"/>
      <c r="D235" s="10"/>
      <c r="E235" s="10"/>
      <c r="F235" s="10"/>
    </row>
    <row r="236">
      <c r="B236" s="5"/>
      <c r="C236" s="5"/>
      <c r="D236" s="10"/>
      <c r="E236" s="10"/>
      <c r="F236" s="10"/>
    </row>
    <row r="237">
      <c r="B237" s="5"/>
      <c r="C237" s="5"/>
      <c r="D237" s="10"/>
      <c r="E237" s="10"/>
      <c r="F237" s="10"/>
    </row>
    <row r="238">
      <c r="B238" s="5"/>
      <c r="C238" s="5"/>
      <c r="D238" s="10"/>
      <c r="E238" s="10"/>
      <c r="F238" s="10"/>
    </row>
    <row r="239">
      <c r="B239" s="5"/>
      <c r="C239" s="5"/>
      <c r="D239" s="10"/>
      <c r="E239" s="10"/>
      <c r="F239" s="10"/>
    </row>
    <row r="240">
      <c r="B240" s="5"/>
      <c r="C240" s="5"/>
      <c r="D240" s="10"/>
      <c r="E240" s="10"/>
      <c r="F240" s="10"/>
    </row>
    <row r="241">
      <c r="B241" s="5"/>
      <c r="C241" s="5"/>
      <c r="D241" s="10"/>
      <c r="E241" s="10"/>
      <c r="F241" s="10"/>
    </row>
    <row r="242">
      <c r="B242" s="5"/>
      <c r="C242" s="5"/>
      <c r="D242" s="10"/>
      <c r="E242" s="10"/>
      <c r="F242" s="10"/>
    </row>
    <row r="243">
      <c r="B243" s="5"/>
      <c r="C243" s="5"/>
      <c r="D243" s="10"/>
      <c r="E243" s="10"/>
      <c r="F243" s="10"/>
    </row>
    <row r="244">
      <c r="B244" s="5"/>
      <c r="C244" s="5"/>
      <c r="D244" s="10"/>
      <c r="E244" s="10"/>
      <c r="F244" s="10"/>
    </row>
    <row r="245">
      <c r="B245" s="5"/>
      <c r="C245" s="5"/>
      <c r="D245" s="10"/>
      <c r="E245" s="10"/>
      <c r="F245" s="10"/>
    </row>
    <row r="246">
      <c r="B246" s="5"/>
      <c r="C246" s="5"/>
      <c r="D246" s="10"/>
      <c r="E246" s="10"/>
      <c r="F246" s="10"/>
    </row>
    <row r="247">
      <c r="B247" s="5"/>
      <c r="C247" s="5"/>
      <c r="D247" s="10"/>
      <c r="E247" s="10"/>
      <c r="F247" s="10"/>
    </row>
    <row r="248">
      <c r="B248" s="5"/>
      <c r="C248" s="5"/>
      <c r="D248" s="10"/>
      <c r="E248" s="10"/>
      <c r="F248" s="10"/>
    </row>
    <row r="249">
      <c r="B249" s="5"/>
      <c r="C249" s="5"/>
      <c r="D249" s="10"/>
      <c r="E249" s="10"/>
      <c r="F249" s="10"/>
    </row>
    <row r="250">
      <c r="B250" s="5"/>
      <c r="C250" s="5"/>
      <c r="D250" s="10"/>
      <c r="E250" s="10"/>
      <c r="F250" s="10"/>
    </row>
    <row r="251">
      <c r="B251" s="5"/>
      <c r="C251" s="5"/>
      <c r="D251" s="10"/>
      <c r="E251" s="10"/>
      <c r="F251" s="10"/>
    </row>
    <row r="252">
      <c r="B252" s="5"/>
      <c r="C252" s="5"/>
      <c r="D252" s="10"/>
      <c r="E252" s="10"/>
      <c r="F252" s="10"/>
    </row>
    <row r="253">
      <c r="B253" s="5"/>
      <c r="C253" s="5"/>
      <c r="D253" s="10"/>
      <c r="E253" s="10"/>
      <c r="F253" s="10"/>
    </row>
    <row r="254">
      <c r="B254" s="5"/>
      <c r="C254" s="5"/>
      <c r="D254" s="10"/>
      <c r="E254" s="10"/>
      <c r="F254" s="10"/>
    </row>
    <row r="255">
      <c r="B255" s="5"/>
      <c r="C255" s="5"/>
      <c r="D255" s="10"/>
      <c r="E255" s="10"/>
      <c r="F255" s="10"/>
    </row>
    <row r="256">
      <c r="B256" s="5"/>
      <c r="C256" s="5"/>
      <c r="D256" s="10"/>
      <c r="E256" s="10"/>
      <c r="F256" s="10"/>
    </row>
    <row r="257">
      <c r="B257" s="5"/>
      <c r="C257" s="5"/>
      <c r="D257" s="10"/>
      <c r="E257" s="10"/>
      <c r="F257" s="10"/>
    </row>
    <row r="258">
      <c r="B258" s="5"/>
      <c r="C258" s="5"/>
      <c r="D258" s="10"/>
      <c r="E258" s="10"/>
      <c r="F258" s="10"/>
    </row>
    <row r="259">
      <c r="B259" s="5"/>
      <c r="C259" s="5"/>
      <c r="D259" s="10"/>
      <c r="E259" s="10"/>
      <c r="F259" s="10"/>
    </row>
    <row r="260">
      <c r="B260" s="5"/>
      <c r="C260" s="5"/>
      <c r="D260" s="10"/>
      <c r="E260" s="10"/>
      <c r="F260" s="10"/>
    </row>
    <row r="261">
      <c r="B261" s="5"/>
      <c r="C261" s="5"/>
      <c r="D261" s="10"/>
      <c r="E261" s="10"/>
      <c r="F261" s="10"/>
    </row>
    <row r="262">
      <c r="B262" s="5"/>
      <c r="C262" s="5"/>
      <c r="D262" s="10"/>
      <c r="E262" s="10"/>
      <c r="F262" s="10"/>
    </row>
    <row r="263">
      <c r="B263" s="5"/>
      <c r="C263" s="5"/>
      <c r="D263" s="10"/>
      <c r="E263" s="10"/>
      <c r="F263" s="10"/>
    </row>
    <row r="264">
      <c r="B264" s="5"/>
      <c r="C264" s="5"/>
      <c r="D264" s="10"/>
      <c r="E264" s="10"/>
      <c r="F264" s="10"/>
    </row>
    <row r="265">
      <c r="B265" s="5"/>
      <c r="C265" s="5"/>
      <c r="D265" s="10"/>
      <c r="E265" s="10"/>
      <c r="F265" s="10"/>
    </row>
    <row r="266">
      <c r="B266" s="5"/>
      <c r="C266" s="5"/>
      <c r="D266" s="10"/>
      <c r="E266" s="10"/>
      <c r="F266" s="10"/>
    </row>
    <row r="267">
      <c r="B267" s="5"/>
      <c r="C267" s="5"/>
      <c r="D267" s="10"/>
      <c r="E267" s="10"/>
      <c r="F267" s="10"/>
    </row>
    <row r="268">
      <c r="B268" s="5"/>
      <c r="C268" s="5"/>
      <c r="D268" s="10"/>
      <c r="E268" s="10"/>
      <c r="F268" s="10"/>
    </row>
    <row r="269">
      <c r="B269" s="5"/>
      <c r="C269" s="5"/>
      <c r="D269" s="10"/>
      <c r="E269" s="10"/>
      <c r="F269" s="10"/>
    </row>
    <row r="270">
      <c r="B270" s="5"/>
      <c r="C270" s="5"/>
      <c r="D270" s="10"/>
      <c r="E270" s="10"/>
      <c r="F270" s="10"/>
    </row>
    <row r="271">
      <c r="B271" s="5"/>
      <c r="C271" s="5"/>
      <c r="D271" s="10"/>
      <c r="E271" s="10"/>
      <c r="F271" s="10"/>
    </row>
    <row r="272">
      <c r="B272" s="5"/>
      <c r="C272" s="5"/>
      <c r="D272" s="10"/>
      <c r="E272" s="10"/>
      <c r="F272" s="10"/>
    </row>
    <row r="273">
      <c r="B273" s="5"/>
      <c r="C273" s="5"/>
      <c r="D273" s="10"/>
      <c r="E273" s="10"/>
      <c r="F273" s="10"/>
    </row>
    <row r="274">
      <c r="B274" s="5"/>
      <c r="C274" s="5"/>
      <c r="D274" s="10"/>
      <c r="E274" s="10"/>
      <c r="F274" s="10"/>
    </row>
    <row r="275">
      <c r="B275" s="5"/>
      <c r="C275" s="5"/>
      <c r="D275" s="10"/>
      <c r="E275" s="10"/>
      <c r="F275" s="10"/>
    </row>
    <row r="276">
      <c r="B276" s="5"/>
      <c r="C276" s="5"/>
      <c r="D276" s="10"/>
      <c r="E276" s="10"/>
      <c r="F276" s="10"/>
    </row>
    <row r="277">
      <c r="B277" s="5"/>
      <c r="C277" s="5"/>
      <c r="D277" s="10"/>
      <c r="E277" s="10"/>
      <c r="F277" s="10"/>
    </row>
    <row r="278">
      <c r="B278" s="5"/>
      <c r="C278" s="5"/>
      <c r="D278" s="10"/>
      <c r="E278" s="10"/>
      <c r="F278" s="10"/>
    </row>
    <row r="279">
      <c r="B279" s="5"/>
      <c r="C279" s="5"/>
      <c r="D279" s="10"/>
      <c r="E279" s="10"/>
      <c r="F279" s="10"/>
    </row>
    <row r="280">
      <c r="B280" s="5"/>
      <c r="C280" s="5"/>
      <c r="D280" s="10"/>
      <c r="E280" s="10"/>
      <c r="F280" s="10"/>
    </row>
    <row r="281">
      <c r="B281" s="5"/>
      <c r="C281" s="5"/>
      <c r="D281" s="10"/>
      <c r="E281" s="10"/>
      <c r="F281" s="10"/>
    </row>
    <row r="282">
      <c r="B282" s="5"/>
      <c r="C282" s="5"/>
      <c r="D282" s="10"/>
      <c r="E282" s="10"/>
      <c r="F282" s="10"/>
    </row>
    <row r="283">
      <c r="B283" s="5"/>
      <c r="C283" s="5"/>
      <c r="D283" s="10"/>
      <c r="E283" s="10"/>
      <c r="F283" s="10"/>
    </row>
    <row r="284">
      <c r="B284" s="5"/>
      <c r="C284" s="5"/>
      <c r="D284" s="10"/>
      <c r="E284" s="10"/>
      <c r="F284" s="10"/>
    </row>
    <row r="285">
      <c r="B285" s="5"/>
      <c r="C285" s="5"/>
      <c r="D285" s="10"/>
      <c r="E285" s="10"/>
      <c r="F285" s="10"/>
    </row>
    <row r="286">
      <c r="B286" s="5"/>
      <c r="C286" s="5"/>
      <c r="D286" s="10"/>
      <c r="E286" s="10"/>
      <c r="F286" s="10"/>
    </row>
    <row r="287">
      <c r="B287" s="5"/>
      <c r="C287" s="5"/>
      <c r="D287" s="10"/>
      <c r="E287" s="10"/>
      <c r="F287" s="10"/>
    </row>
    <row r="288">
      <c r="B288" s="5"/>
      <c r="C288" s="5"/>
      <c r="D288" s="10"/>
      <c r="E288" s="10"/>
      <c r="F288" s="10"/>
    </row>
    <row r="289">
      <c r="B289" s="5"/>
      <c r="C289" s="5"/>
      <c r="D289" s="10"/>
      <c r="E289" s="10"/>
      <c r="F289" s="10"/>
    </row>
    <row r="290">
      <c r="B290" s="5"/>
      <c r="C290" s="5"/>
      <c r="D290" s="10"/>
      <c r="E290" s="10"/>
      <c r="F290" s="10"/>
    </row>
    <row r="291">
      <c r="B291" s="5"/>
      <c r="C291" s="5"/>
      <c r="D291" s="10"/>
      <c r="E291" s="10"/>
      <c r="F291" s="10"/>
    </row>
    <row r="292">
      <c r="B292" s="5"/>
      <c r="C292" s="5"/>
      <c r="D292" s="10"/>
      <c r="E292" s="10"/>
      <c r="F292" s="10"/>
    </row>
    <row r="293">
      <c r="B293" s="5"/>
      <c r="C293" s="5"/>
      <c r="D293" s="10"/>
      <c r="E293" s="10"/>
      <c r="F293" s="10"/>
    </row>
    <row r="294">
      <c r="B294" s="5"/>
      <c r="C294" s="5"/>
      <c r="D294" s="10"/>
      <c r="E294" s="10"/>
      <c r="F294" s="10"/>
    </row>
    <row r="295">
      <c r="B295" s="5"/>
      <c r="C295" s="5"/>
      <c r="D295" s="10"/>
      <c r="E295" s="10"/>
      <c r="F295" s="10"/>
    </row>
    <row r="296">
      <c r="B296" s="5"/>
      <c r="C296" s="5"/>
      <c r="D296" s="10"/>
      <c r="E296" s="10"/>
      <c r="F296" s="10"/>
    </row>
    <row r="297">
      <c r="B297" s="5"/>
      <c r="C297" s="5"/>
      <c r="D297" s="10"/>
      <c r="E297" s="10"/>
      <c r="F297" s="10"/>
    </row>
    <row r="298">
      <c r="B298" s="5"/>
      <c r="C298" s="5"/>
      <c r="D298" s="10"/>
      <c r="E298" s="10"/>
      <c r="F298" s="10"/>
    </row>
    <row r="299">
      <c r="B299" s="5"/>
      <c r="C299" s="5"/>
      <c r="D299" s="10"/>
      <c r="E299" s="10"/>
      <c r="F299" s="10"/>
    </row>
    <row r="300">
      <c r="B300" s="5"/>
      <c r="C300" s="5"/>
      <c r="D300" s="10"/>
      <c r="E300" s="10"/>
      <c r="F300" s="10"/>
    </row>
    <row r="301">
      <c r="B301" s="5"/>
      <c r="C301" s="5"/>
      <c r="D301" s="10"/>
      <c r="E301" s="10"/>
      <c r="F301" s="10"/>
    </row>
    <row r="302">
      <c r="B302" s="5"/>
      <c r="C302" s="5"/>
      <c r="D302" s="10"/>
      <c r="E302" s="10"/>
      <c r="F302" s="10"/>
    </row>
    <row r="303">
      <c r="B303" s="5"/>
      <c r="C303" s="5"/>
      <c r="D303" s="10"/>
      <c r="E303" s="10"/>
      <c r="F303" s="10"/>
    </row>
    <row r="304">
      <c r="B304" s="5"/>
      <c r="C304" s="5"/>
      <c r="D304" s="10"/>
      <c r="E304" s="10"/>
      <c r="F304" s="10"/>
    </row>
    <row r="305">
      <c r="B305" s="5"/>
      <c r="C305" s="5"/>
      <c r="D305" s="10"/>
      <c r="E305" s="10"/>
      <c r="F305" s="10"/>
    </row>
    <row r="306">
      <c r="B306" s="5"/>
      <c r="C306" s="5"/>
      <c r="D306" s="10"/>
      <c r="E306" s="10"/>
      <c r="F306" s="10"/>
    </row>
    <row r="307">
      <c r="B307" s="5"/>
      <c r="C307" s="5"/>
      <c r="D307" s="10"/>
      <c r="E307" s="10"/>
      <c r="F307" s="10"/>
    </row>
    <row r="308">
      <c r="B308" s="5"/>
      <c r="C308" s="5"/>
      <c r="D308" s="10"/>
      <c r="E308" s="10"/>
      <c r="F308" s="10"/>
    </row>
    <row r="309">
      <c r="B309" s="5"/>
      <c r="C309" s="5"/>
      <c r="D309" s="10"/>
      <c r="E309" s="10"/>
      <c r="F309" s="10"/>
    </row>
    <row r="310">
      <c r="B310" s="5"/>
      <c r="C310" s="5"/>
      <c r="D310" s="10"/>
      <c r="E310" s="10"/>
      <c r="F310" s="10"/>
    </row>
    <row r="311">
      <c r="B311" s="5"/>
      <c r="C311" s="5"/>
      <c r="D311" s="10"/>
      <c r="E311" s="10"/>
      <c r="F311" s="10"/>
    </row>
    <row r="312">
      <c r="B312" s="5"/>
      <c r="C312" s="5"/>
      <c r="D312" s="10"/>
      <c r="E312" s="10"/>
      <c r="F312" s="10"/>
    </row>
    <row r="313">
      <c r="B313" s="5"/>
      <c r="C313" s="5"/>
      <c r="D313" s="10"/>
      <c r="E313" s="10"/>
      <c r="F313" s="10"/>
    </row>
    <row r="314">
      <c r="B314" s="5"/>
      <c r="C314" s="5"/>
      <c r="D314" s="10"/>
      <c r="E314" s="10"/>
      <c r="F314" s="10"/>
    </row>
    <row r="315">
      <c r="B315" s="5"/>
      <c r="C315" s="5"/>
      <c r="D315" s="10"/>
      <c r="E315" s="10"/>
      <c r="F315" s="10"/>
    </row>
    <row r="316">
      <c r="B316" s="5"/>
      <c r="C316" s="5"/>
      <c r="D316" s="10"/>
      <c r="E316" s="10"/>
      <c r="F316" s="10"/>
    </row>
    <row r="317">
      <c r="B317" s="5"/>
      <c r="C317" s="5"/>
      <c r="D317" s="10"/>
      <c r="E317" s="10"/>
      <c r="F317" s="10"/>
    </row>
    <row r="318">
      <c r="B318" s="5"/>
      <c r="C318" s="5"/>
      <c r="D318" s="10"/>
      <c r="E318" s="10"/>
      <c r="F318" s="10"/>
    </row>
    <row r="319">
      <c r="B319" s="5"/>
      <c r="C319" s="5"/>
      <c r="D319" s="10"/>
      <c r="E319" s="10"/>
      <c r="F319" s="10"/>
    </row>
    <row r="320">
      <c r="B320" s="5"/>
      <c r="C320" s="5"/>
      <c r="D320" s="10"/>
      <c r="E320" s="10"/>
      <c r="F320" s="10"/>
    </row>
    <row r="321">
      <c r="B321" s="5"/>
      <c r="C321" s="5"/>
      <c r="D321" s="10"/>
      <c r="E321" s="10"/>
      <c r="F321" s="10"/>
    </row>
    <row r="322">
      <c r="B322" s="5"/>
      <c r="C322" s="5"/>
      <c r="D322" s="10"/>
      <c r="E322" s="10"/>
      <c r="F322" s="10"/>
    </row>
    <row r="323">
      <c r="B323" s="5"/>
      <c r="C323" s="5"/>
      <c r="D323" s="10"/>
      <c r="E323" s="10"/>
      <c r="F323" s="10"/>
    </row>
    <row r="324">
      <c r="B324" s="5"/>
      <c r="C324" s="5"/>
      <c r="D324" s="10"/>
      <c r="E324" s="10"/>
      <c r="F324" s="10"/>
    </row>
    <row r="325">
      <c r="B325" s="5"/>
      <c r="C325" s="5"/>
      <c r="D325" s="10"/>
      <c r="E325" s="10"/>
      <c r="F325" s="10"/>
    </row>
    <row r="326">
      <c r="B326" s="5"/>
      <c r="C326" s="5"/>
      <c r="D326" s="10"/>
      <c r="E326" s="10"/>
      <c r="F326" s="10"/>
    </row>
    <row r="327">
      <c r="B327" s="5"/>
      <c r="C327" s="5"/>
      <c r="D327" s="10"/>
      <c r="E327" s="10"/>
      <c r="F327" s="10"/>
    </row>
    <row r="328">
      <c r="B328" s="5"/>
      <c r="C328" s="5"/>
      <c r="D328" s="10"/>
      <c r="E328" s="10"/>
      <c r="F328" s="10"/>
    </row>
    <row r="329">
      <c r="B329" s="5"/>
      <c r="C329" s="5"/>
      <c r="D329" s="10"/>
      <c r="E329" s="10"/>
      <c r="F329" s="10"/>
    </row>
    <row r="330">
      <c r="B330" s="5"/>
      <c r="C330" s="5"/>
      <c r="D330" s="10"/>
      <c r="E330" s="10"/>
      <c r="F330" s="10"/>
    </row>
    <row r="331">
      <c r="B331" s="5"/>
      <c r="C331" s="5"/>
      <c r="D331" s="10"/>
      <c r="E331" s="10"/>
      <c r="F331" s="10"/>
    </row>
    <row r="332">
      <c r="B332" s="5"/>
      <c r="C332" s="5"/>
      <c r="D332" s="10"/>
      <c r="E332" s="10"/>
      <c r="F332" s="10"/>
    </row>
    <row r="333">
      <c r="B333" s="5"/>
      <c r="C333" s="5"/>
      <c r="D333" s="10"/>
      <c r="E333" s="10"/>
      <c r="F333" s="10"/>
    </row>
    <row r="334">
      <c r="B334" s="5"/>
      <c r="C334" s="5"/>
      <c r="D334" s="10"/>
      <c r="E334" s="10"/>
      <c r="F334" s="10"/>
    </row>
    <row r="335">
      <c r="B335" s="5"/>
      <c r="C335" s="5"/>
      <c r="D335" s="10"/>
      <c r="E335" s="10"/>
      <c r="F335" s="10"/>
    </row>
    <row r="336">
      <c r="B336" s="5"/>
      <c r="C336" s="5"/>
      <c r="D336" s="10"/>
      <c r="E336" s="10"/>
      <c r="F336" s="10"/>
    </row>
    <row r="337">
      <c r="B337" s="5"/>
      <c r="C337" s="5"/>
      <c r="D337" s="10"/>
      <c r="E337" s="10"/>
      <c r="F337" s="10"/>
    </row>
    <row r="338">
      <c r="B338" s="5"/>
      <c r="C338" s="5"/>
      <c r="D338" s="10"/>
      <c r="E338" s="10"/>
      <c r="F338" s="10"/>
    </row>
    <row r="339">
      <c r="B339" s="5"/>
      <c r="C339" s="5"/>
      <c r="D339" s="10"/>
      <c r="E339" s="10"/>
      <c r="F339" s="10"/>
    </row>
    <row r="340">
      <c r="B340" s="5"/>
      <c r="C340" s="5"/>
      <c r="D340" s="10"/>
      <c r="E340" s="10"/>
      <c r="F340" s="10"/>
    </row>
    <row r="341">
      <c r="B341" s="5"/>
      <c r="C341" s="5"/>
      <c r="D341" s="10"/>
      <c r="E341" s="10"/>
      <c r="F341" s="10"/>
    </row>
    <row r="342">
      <c r="B342" s="5"/>
      <c r="C342" s="5"/>
      <c r="D342" s="10"/>
      <c r="E342" s="10"/>
      <c r="F342" s="10"/>
    </row>
    <row r="343">
      <c r="B343" s="5"/>
      <c r="C343" s="5"/>
      <c r="D343" s="10"/>
      <c r="E343" s="10"/>
      <c r="F343" s="10"/>
    </row>
    <row r="344">
      <c r="B344" s="5"/>
      <c r="C344" s="5"/>
      <c r="D344" s="10"/>
      <c r="E344" s="10"/>
      <c r="F344" s="10"/>
    </row>
    <row r="345">
      <c r="B345" s="5"/>
      <c r="C345" s="5"/>
      <c r="D345" s="10"/>
      <c r="E345" s="10"/>
      <c r="F345" s="10"/>
    </row>
    <row r="346">
      <c r="B346" s="5"/>
      <c r="C346" s="5"/>
      <c r="D346" s="10"/>
      <c r="E346" s="10"/>
      <c r="F346" s="10"/>
    </row>
    <row r="347">
      <c r="B347" s="5"/>
      <c r="C347" s="5"/>
      <c r="D347" s="10"/>
      <c r="E347" s="10"/>
      <c r="F347" s="10"/>
    </row>
    <row r="348">
      <c r="B348" s="5"/>
      <c r="C348" s="5"/>
      <c r="D348" s="10"/>
      <c r="E348" s="10"/>
      <c r="F348" s="10"/>
    </row>
    <row r="349">
      <c r="B349" s="5"/>
      <c r="C349" s="5"/>
      <c r="D349" s="10"/>
      <c r="E349" s="10"/>
      <c r="F349" s="10"/>
    </row>
    <row r="350">
      <c r="B350" s="5"/>
      <c r="C350" s="5"/>
      <c r="D350" s="10"/>
      <c r="E350" s="10"/>
      <c r="F350" s="10"/>
    </row>
    <row r="351">
      <c r="B351" s="5"/>
      <c r="C351" s="5"/>
      <c r="D351" s="10"/>
      <c r="E351" s="10"/>
      <c r="F351" s="10"/>
    </row>
    <row r="352">
      <c r="B352" s="5"/>
      <c r="C352" s="5"/>
      <c r="D352" s="10"/>
      <c r="E352" s="10"/>
      <c r="F352" s="10"/>
    </row>
    <row r="353">
      <c r="B353" s="5"/>
      <c r="C353" s="5"/>
      <c r="D353" s="10"/>
      <c r="E353" s="10"/>
      <c r="F353" s="10"/>
    </row>
    <row r="354">
      <c r="B354" s="5"/>
      <c r="C354" s="5"/>
      <c r="D354" s="10"/>
      <c r="E354" s="10"/>
      <c r="F354" s="10"/>
    </row>
    <row r="355">
      <c r="B355" s="5"/>
      <c r="C355" s="5"/>
      <c r="D355" s="10"/>
      <c r="E355" s="10"/>
      <c r="F355" s="10"/>
    </row>
    <row r="356">
      <c r="B356" s="5"/>
      <c r="C356" s="5"/>
      <c r="D356" s="10"/>
      <c r="E356" s="10"/>
      <c r="F356" s="10"/>
    </row>
    <row r="357">
      <c r="B357" s="5"/>
      <c r="C357" s="5"/>
      <c r="D357" s="10"/>
      <c r="E357" s="10"/>
      <c r="F357" s="10"/>
    </row>
    <row r="358">
      <c r="B358" s="5"/>
      <c r="C358" s="5"/>
      <c r="D358" s="10"/>
      <c r="E358" s="10"/>
      <c r="F358" s="10"/>
    </row>
    <row r="359">
      <c r="B359" s="5"/>
      <c r="C359" s="5"/>
      <c r="D359" s="10"/>
      <c r="E359" s="10"/>
      <c r="F359" s="10"/>
    </row>
    <row r="360">
      <c r="B360" s="5"/>
      <c r="C360" s="5"/>
      <c r="D360" s="10"/>
      <c r="E360" s="10"/>
      <c r="F360" s="10"/>
    </row>
    <row r="361">
      <c r="B361" s="5"/>
      <c r="C361" s="5"/>
      <c r="D361" s="10"/>
      <c r="E361" s="10"/>
      <c r="F361" s="10"/>
    </row>
    <row r="362">
      <c r="B362" s="5"/>
      <c r="C362" s="5"/>
      <c r="D362" s="10"/>
      <c r="E362" s="10"/>
      <c r="F362" s="10"/>
    </row>
    <row r="363">
      <c r="B363" s="5"/>
      <c r="C363" s="5"/>
      <c r="D363" s="10"/>
      <c r="E363" s="10"/>
      <c r="F363" s="10"/>
    </row>
    <row r="364">
      <c r="B364" s="5"/>
      <c r="C364" s="5"/>
      <c r="D364" s="10"/>
      <c r="E364" s="10"/>
      <c r="F364" s="10"/>
    </row>
    <row r="365">
      <c r="B365" s="5"/>
      <c r="C365" s="5"/>
      <c r="D365" s="10"/>
      <c r="E365" s="10"/>
      <c r="F365" s="10"/>
    </row>
    <row r="366">
      <c r="B366" s="5"/>
      <c r="C366" s="5"/>
      <c r="D366" s="10"/>
      <c r="E366" s="10"/>
      <c r="F366" s="10"/>
    </row>
    <row r="367">
      <c r="B367" s="5"/>
      <c r="C367" s="5"/>
      <c r="D367" s="10"/>
      <c r="E367" s="10"/>
      <c r="F367" s="10"/>
    </row>
    <row r="368">
      <c r="B368" s="5"/>
      <c r="C368" s="5"/>
      <c r="D368" s="10"/>
      <c r="E368" s="10"/>
      <c r="F368" s="10"/>
    </row>
    <row r="369">
      <c r="B369" s="5"/>
      <c r="C369" s="5"/>
      <c r="D369" s="10"/>
      <c r="E369" s="10"/>
      <c r="F369" s="10"/>
    </row>
    <row r="370">
      <c r="B370" s="5"/>
      <c r="C370" s="5"/>
      <c r="D370" s="10"/>
      <c r="E370" s="10"/>
      <c r="F370" s="10"/>
    </row>
    <row r="371">
      <c r="B371" s="5"/>
      <c r="C371" s="5"/>
      <c r="D371" s="10"/>
      <c r="E371" s="10"/>
      <c r="F371" s="10"/>
    </row>
    <row r="372">
      <c r="B372" s="5"/>
      <c r="C372" s="5"/>
      <c r="D372" s="10"/>
      <c r="E372" s="10"/>
      <c r="F372" s="10"/>
    </row>
    <row r="373">
      <c r="B373" s="5"/>
      <c r="C373" s="5"/>
      <c r="D373" s="10"/>
      <c r="E373" s="10"/>
      <c r="F373" s="10"/>
    </row>
    <row r="374">
      <c r="B374" s="5"/>
      <c r="C374" s="5"/>
      <c r="D374" s="10"/>
      <c r="E374" s="10"/>
      <c r="F374" s="10"/>
    </row>
    <row r="375">
      <c r="B375" s="5"/>
      <c r="C375" s="5"/>
      <c r="D375" s="10"/>
      <c r="E375" s="10"/>
      <c r="F375" s="10"/>
    </row>
    <row r="376">
      <c r="B376" s="5"/>
      <c r="C376" s="5"/>
      <c r="D376" s="10"/>
      <c r="E376" s="10"/>
      <c r="F376" s="10"/>
    </row>
    <row r="377">
      <c r="B377" s="5"/>
      <c r="C377" s="5"/>
      <c r="D377" s="10"/>
      <c r="E377" s="10"/>
      <c r="F377" s="10"/>
    </row>
    <row r="378">
      <c r="B378" s="5"/>
      <c r="C378" s="5"/>
      <c r="D378" s="10"/>
      <c r="E378" s="10"/>
      <c r="F378" s="10"/>
    </row>
    <row r="379">
      <c r="B379" s="5"/>
      <c r="C379" s="5"/>
      <c r="D379" s="10"/>
      <c r="E379" s="10"/>
      <c r="F379" s="10"/>
    </row>
    <row r="380">
      <c r="B380" s="5"/>
      <c r="C380" s="5"/>
      <c r="D380" s="10"/>
      <c r="E380" s="10"/>
      <c r="F380" s="10"/>
    </row>
    <row r="381">
      <c r="B381" s="5"/>
      <c r="C381" s="5"/>
      <c r="D381" s="10"/>
      <c r="E381" s="10"/>
      <c r="F381" s="10"/>
    </row>
    <row r="382">
      <c r="B382" s="5"/>
      <c r="C382" s="5"/>
      <c r="D382" s="10"/>
      <c r="E382" s="10"/>
      <c r="F382" s="10"/>
    </row>
    <row r="383">
      <c r="B383" s="5"/>
      <c r="C383" s="5"/>
      <c r="D383" s="10"/>
      <c r="E383" s="10"/>
      <c r="F383" s="10"/>
    </row>
    <row r="384">
      <c r="B384" s="5"/>
      <c r="C384" s="5"/>
      <c r="D384" s="10"/>
      <c r="E384" s="10"/>
      <c r="F384" s="10"/>
    </row>
    <row r="385">
      <c r="B385" s="5"/>
      <c r="C385" s="5"/>
      <c r="D385" s="10"/>
      <c r="E385" s="10"/>
      <c r="F385" s="10"/>
    </row>
    <row r="386">
      <c r="B386" s="5"/>
      <c r="C386" s="5"/>
      <c r="D386" s="10"/>
      <c r="E386" s="10"/>
      <c r="F386" s="10"/>
    </row>
    <row r="387">
      <c r="B387" s="5"/>
      <c r="C387" s="5"/>
      <c r="D387" s="10"/>
      <c r="E387" s="10"/>
      <c r="F387" s="10"/>
    </row>
    <row r="388">
      <c r="B388" s="5"/>
      <c r="C388" s="5"/>
      <c r="D388" s="10"/>
      <c r="E388" s="10"/>
      <c r="F388" s="10"/>
    </row>
    <row r="389">
      <c r="B389" s="5"/>
      <c r="C389" s="5"/>
      <c r="D389" s="10"/>
      <c r="E389" s="10"/>
      <c r="F389" s="10"/>
    </row>
    <row r="390">
      <c r="B390" s="5"/>
      <c r="C390" s="5"/>
      <c r="D390" s="10"/>
      <c r="E390" s="10"/>
      <c r="F390" s="10"/>
    </row>
    <row r="391">
      <c r="B391" s="5"/>
      <c r="C391" s="5"/>
      <c r="D391" s="10"/>
      <c r="E391" s="10"/>
      <c r="F391" s="10"/>
    </row>
    <row r="392">
      <c r="B392" s="5"/>
      <c r="C392" s="5"/>
      <c r="D392" s="10"/>
      <c r="E392" s="10"/>
      <c r="F392" s="10"/>
    </row>
    <row r="393">
      <c r="B393" s="5"/>
      <c r="C393" s="5"/>
      <c r="D393" s="10"/>
      <c r="E393" s="10"/>
      <c r="F393" s="10"/>
    </row>
    <row r="394">
      <c r="B394" s="5"/>
      <c r="C394" s="5"/>
      <c r="D394" s="10"/>
      <c r="E394" s="10"/>
      <c r="F394" s="10"/>
    </row>
    <row r="395">
      <c r="B395" s="5"/>
      <c r="C395" s="5"/>
      <c r="D395" s="10"/>
      <c r="E395" s="10"/>
      <c r="F395" s="10"/>
    </row>
    <row r="396">
      <c r="B396" s="5"/>
      <c r="C396" s="5"/>
      <c r="D396" s="10"/>
      <c r="E396" s="10"/>
      <c r="F396" s="10"/>
    </row>
    <row r="397">
      <c r="B397" s="5"/>
      <c r="C397" s="5"/>
      <c r="D397" s="10"/>
      <c r="E397" s="10"/>
      <c r="F397" s="10"/>
    </row>
    <row r="398">
      <c r="B398" s="5"/>
      <c r="C398" s="5"/>
      <c r="D398" s="10"/>
      <c r="E398" s="10"/>
      <c r="F398" s="10"/>
    </row>
    <row r="399">
      <c r="B399" s="5"/>
      <c r="C399" s="5"/>
      <c r="D399" s="10"/>
      <c r="E399" s="10"/>
      <c r="F399" s="10"/>
    </row>
    <row r="400">
      <c r="B400" s="5"/>
      <c r="C400" s="5"/>
      <c r="D400" s="10"/>
      <c r="E400" s="10"/>
      <c r="F400" s="10"/>
    </row>
    <row r="401">
      <c r="B401" s="5"/>
      <c r="C401" s="5"/>
      <c r="D401" s="10"/>
      <c r="E401" s="10"/>
      <c r="F401" s="10"/>
    </row>
    <row r="402">
      <c r="B402" s="5"/>
      <c r="C402" s="5"/>
      <c r="D402" s="10"/>
      <c r="E402" s="10"/>
      <c r="F402" s="10"/>
    </row>
    <row r="403">
      <c r="B403" s="5"/>
      <c r="C403" s="5"/>
      <c r="D403" s="10"/>
      <c r="E403" s="10"/>
      <c r="F403" s="10"/>
    </row>
    <row r="404">
      <c r="B404" s="5"/>
      <c r="C404" s="5"/>
      <c r="D404" s="10"/>
      <c r="E404" s="10"/>
      <c r="F404" s="10"/>
    </row>
    <row r="405">
      <c r="B405" s="5"/>
      <c r="C405" s="5"/>
      <c r="D405" s="10"/>
      <c r="E405" s="10"/>
      <c r="F405" s="10"/>
    </row>
    <row r="406">
      <c r="B406" s="5"/>
      <c r="C406" s="5"/>
      <c r="D406" s="10"/>
      <c r="E406" s="10"/>
      <c r="F406" s="10"/>
    </row>
    <row r="407">
      <c r="B407" s="5"/>
      <c r="C407" s="5"/>
      <c r="D407" s="10"/>
      <c r="E407" s="10"/>
      <c r="F407" s="10"/>
    </row>
    <row r="408">
      <c r="B408" s="5"/>
      <c r="C408" s="5"/>
      <c r="D408" s="10"/>
      <c r="E408" s="10"/>
      <c r="F408" s="10"/>
    </row>
    <row r="409">
      <c r="B409" s="5"/>
      <c r="C409" s="5"/>
      <c r="D409" s="10"/>
      <c r="E409" s="10"/>
      <c r="F409" s="10"/>
    </row>
    <row r="410">
      <c r="B410" s="5"/>
      <c r="C410" s="5"/>
      <c r="D410" s="10"/>
      <c r="E410" s="10"/>
      <c r="F410" s="10"/>
    </row>
    <row r="411">
      <c r="B411" s="5"/>
      <c r="C411" s="5"/>
      <c r="D411" s="10"/>
      <c r="E411" s="10"/>
      <c r="F411" s="10"/>
    </row>
    <row r="412">
      <c r="B412" s="5"/>
      <c r="C412" s="5"/>
      <c r="D412" s="10"/>
      <c r="E412" s="10"/>
      <c r="F412" s="10"/>
    </row>
    <row r="413">
      <c r="B413" s="5"/>
      <c r="C413" s="5"/>
      <c r="D413" s="10"/>
      <c r="E413" s="10"/>
      <c r="F413" s="10"/>
    </row>
    <row r="414">
      <c r="B414" s="5"/>
      <c r="C414" s="5"/>
      <c r="D414" s="10"/>
      <c r="E414" s="10"/>
      <c r="F414" s="10"/>
    </row>
    <row r="415">
      <c r="B415" s="5"/>
      <c r="C415" s="5"/>
      <c r="D415" s="10"/>
      <c r="E415" s="10"/>
      <c r="F415" s="10"/>
    </row>
    <row r="416">
      <c r="B416" s="5"/>
      <c r="C416" s="5"/>
      <c r="D416" s="10"/>
      <c r="E416" s="10"/>
      <c r="F416" s="10"/>
    </row>
    <row r="417">
      <c r="B417" s="5"/>
      <c r="C417" s="5"/>
      <c r="D417" s="10"/>
      <c r="E417" s="10"/>
      <c r="F417" s="10"/>
    </row>
    <row r="418">
      <c r="B418" s="5"/>
      <c r="C418" s="5"/>
      <c r="D418" s="10"/>
      <c r="E418" s="10"/>
      <c r="F418" s="10"/>
    </row>
    <row r="419">
      <c r="B419" s="5"/>
      <c r="C419" s="5"/>
      <c r="D419" s="10"/>
      <c r="E419" s="10"/>
      <c r="F419" s="10"/>
    </row>
    <row r="420">
      <c r="B420" s="5"/>
      <c r="C420" s="5"/>
      <c r="D420" s="10"/>
      <c r="E420" s="10"/>
      <c r="F420" s="10"/>
    </row>
    <row r="421">
      <c r="B421" s="5"/>
      <c r="C421" s="5"/>
      <c r="D421" s="10"/>
      <c r="E421" s="10"/>
      <c r="F421" s="10"/>
    </row>
    <row r="422">
      <c r="B422" s="5"/>
      <c r="C422" s="5"/>
      <c r="D422" s="10"/>
      <c r="E422" s="10"/>
      <c r="F422" s="10"/>
    </row>
    <row r="423">
      <c r="B423" s="5"/>
      <c r="C423" s="5"/>
      <c r="D423" s="10"/>
      <c r="E423" s="10"/>
      <c r="F423" s="10"/>
    </row>
    <row r="424">
      <c r="B424" s="5"/>
      <c r="C424" s="5"/>
      <c r="D424" s="10"/>
      <c r="E424" s="10"/>
      <c r="F424" s="10"/>
    </row>
    <row r="425">
      <c r="B425" s="5"/>
      <c r="C425" s="5"/>
      <c r="D425" s="10"/>
      <c r="E425" s="10"/>
      <c r="F425" s="10"/>
    </row>
    <row r="426">
      <c r="B426" s="5"/>
      <c r="C426" s="5"/>
      <c r="D426" s="10"/>
      <c r="E426" s="10"/>
      <c r="F426" s="10"/>
    </row>
    <row r="427">
      <c r="B427" s="5"/>
      <c r="C427" s="5"/>
      <c r="D427" s="10"/>
      <c r="E427" s="10"/>
      <c r="F427" s="10"/>
    </row>
    <row r="428">
      <c r="B428" s="5"/>
      <c r="C428" s="5"/>
      <c r="D428" s="10"/>
      <c r="E428" s="10"/>
      <c r="F428" s="10"/>
    </row>
    <row r="429">
      <c r="B429" s="5"/>
      <c r="C429" s="5"/>
      <c r="D429" s="10"/>
      <c r="E429" s="10"/>
      <c r="F429" s="10"/>
    </row>
    <row r="430">
      <c r="B430" s="5"/>
      <c r="C430" s="5"/>
      <c r="D430" s="10"/>
      <c r="E430" s="10"/>
      <c r="F430" s="10"/>
    </row>
    <row r="431">
      <c r="B431" s="5"/>
      <c r="C431" s="5"/>
      <c r="D431" s="10"/>
      <c r="E431" s="10"/>
      <c r="F431" s="10"/>
    </row>
    <row r="432">
      <c r="B432" s="5"/>
      <c r="C432" s="5"/>
      <c r="D432" s="10"/>
      <c r="E432" s="10"/>
      <c r="F432" s="10"/>
    </row>
    <row r="433">
      <c r="B433" s="5"/>
      <c r="C433" s="5"/>
      <c r="D433" s="10"/>
      <c r="E433" s="10"/>
      <c r="F433" s="10"/>
    </row>
    <row r="434">
      <c r="B434" s="5"/>
      <c r="C434" s="5"/>
      <c r="D434" s="10"/>
      <c r="E434" s="10"/>
      <c r="F434" s="10"/>
    </row>
    <row r="435">
      <c r="B435" s="5"/>
      <c r="C435" s="5"/>
      <c r="D435" s="10"/>
      <c r="E435" s="10"/>
      <c r="F435" s="10"/>
    </row>
    <row r="436">
      <c r="B436" s="5"/>
      <c r="C436" s="5"/>
      <c r="D436" s="10"/>
      <c r="E436" s="10"/>
      <c r="F436" s="10"/>
    </row>
    <row r="437">
      <c r="B437" s="5"/>
      <c r="C437" s="5"/>
      <c r="D437" s="10"/>
      <c r="E437" s="10"/>
      <c r="F437" s="10"/>
    </row>
    <row r="438">
      <c r="B438" s="5"/>
      <c r="C438" s="5"/>
      <c r="D438" s="10"/>
      <c r="E438" s="10"/>
      <c r="F438" s="10"/>
    </row>
    <row r="439">
      <c r="B439" s="5"/>
      <c r="C439" s="5"/>
      <c r="D439" s="10"/>
      <c r="E439" s="10"/>
      <c r="F439" s="10"/>
    </row>
    <row r="440">
      <c r="B440" s="5"/>
      <c r="C440" s="5"/>
      <c r="D440" s="10"/>
      <c r="E440" s="10"/>
      <c r="F440" s="10"/>
    </row>
    <row r="441">
      <c r="B441" s="5"/>
      <c r="C441" s="5"/>
      <c r="D441" s="10"/>
      <c r="E441" s="10"/>
      <c r="F441" s="10"/>
    </row>
    <row r="442">
      <c r="B442" s="5"/>
      <c r="C442" s="5"/>
      <c r="D442" s="10"/>
      <c r="E442" s="10"/>
      <c r="F442" s="10"/>
    </row>
    <row r="443">
      <c r="B443" s="5"/>
      <c r="C443" s="5"/>
      <c r="D443" s="10"/>
      <c r="E443" s="10"/>
      <c r="F443" s="10"/>
    </row>
    <row r="444">
      <c r="B444" s="5"/>
      <c r="C444" s="5"/>
      <c r="D444" s="10"/>
      <c r="E444" s="10"/>
      <c r="F444" s="10"/>
    </row>
    <row r="445">
      <c r="B445" s="5"/>
      <c r="C445" s="5"/>
      <c r="D445" s="10"/>
      <c r="E445" s="10"/>
      <c r="F445" s="10"/>
    </row>
    <row r="446">
      <c r="B446" s="5"/>
      <c r="C446" s="5"/>
      <c r="D446" s="10"/>
      <c r="E446" s="10"/>
      <c r="F446" s="10"/>
    </row>
    <row r="447">
      <c r="B447" s="5"/>
      <c r="C447" s="5"/>
      <c r="D447" s="10"/>
      <c r="E447" s="10"/>
      <c r="F447" s="10"/>
    </row>
    <row r="448">
      <c r="B448" s="5"/>
      <c r="C448" s="5"/>
      <c r="D448" s="10"/>
      <c r="E448" s="10"/>
      <c r="F448" s="10"/>
    </row>
    <row r="449">
      <c r="B449" s="5"/>
      <c r="C449" s="5"/>
      <c r="D449" s="10"/>
      <c r="E449" s="10"/>
      <c r="F449" s="10"/>
    </row>
    <row r="450">
      <c r="B450" s="5"/>
      <c r="C450" s="5"/>
      <c r="D450" s="10"/>
      <c r="E450" s="10"/>
      <c r="F450" s="10"/>
    </row>
    <row r="451">
      <c r="B451" s="5"/>
      <c r="C451" s="5"/>
      <c r="D451" s="10"/>
      <c r="E451" s="10"/>
      <c r="F451" s="10"/>
    </row>
    <row r="452">
      <c r="B452" s="5"/>
      <c r="C452" s="5"/>
      <c r="D452" s="10"/>
      <c r="E452" s="10"/>
      <c r="F452" s="10"/>
    </row>
    <row r="453">
      <c r="B453" s="5"/>
      <c r="C453" s="5"/>
      <c r="D453" s="10"/>
      <c r="E453" s="10"/>
      <c r="F453" s="10"/>
    </row>
    <row r="454">
      <c r="B454" s="5"/>
      <c r="C454" s="5"/>
      <c r="D454" s="10"/>
      <c r="E454" s="10"/>
      <c r="F454" s="10"/>
    </row>
    <row r="455">
      <c r="B455" s="5"/>
      <c r="C455" s="5"/>
      <c r="D455" s="10"/>
      <c r="E455" s="10"/>
      <c r="F455" s="10"/>
    </row>
    <row r="456">
      <c r="B456" s="5"/>
      <c r="C456" s="5"/>
      <c r="D456" s="10"/>
      <c r="E456" s="10"/>
      <c r="F456" s="10"/>
    </row>
    <row r="457">
      <c r="B457" s="5"/>
      <c r="C457" s="5"/>
      <c r="D457" s="10"/>
      <c r="E457" s="10"/>
      <c r="F457" s="10"/>
    </row>
    <row r="458">
      <c r="B458" s="5"/>
      <c r="C458" s="5"/>
      <c r="D458" s="10"/>
      <c r="E458" s="10"/>
      <c r="F458" s="10"/>
    </row>
    <row r="459">
      <c r="B459" s="5"/>
      <c r="C459" s="5"/>
      <c r="D459" s="10"/>
      <c r="E459" s="10"/>
      <c r="F459" s="10"/>
    </row>
    <row r="460">
      <c r="B460" s="5"/>
      <c r="C460" s="5"/>
      <c r="D460" s="10"/>
      <c r="E460" s="10"/>
      <c r="F460" s="10"/>
    </row>
    <row r="461">
      <c r="B461" s="5"/>
      <c r="C461" s="5"/>
      <c r="D461" s="10"/>
      <c r="E461" s="10"/>
      <c r="F461" s="10"/>
    </row>
    <row r="462">
      <c r="B462" s="5"/>
      <c r="C462" s="5"/>
      <c r="D462" s="10"/>
      <c r="E462" s="10"/>
      <c r="F462" s="10"/>
    </row>
    <row r="463">
      <c r="B463" s="5"/>
      <c r="C463" s="5"/>
      <c r="D463" s="10"/>
      <c r="E463" s="10"/>
      <c r="F463" s="10"/>
    </row>
    <row r="464">
      <c r="B464" s="5"/>
      <c r="C464" s="5"/>
      <c r="D464" s="10"/>
      <c r="E464" s="10"/>
      <c r="F464" s="10"/>
    </row>
    <row r="465">
      <c r="B465" s="5"/>
      <c r="C465" s="5"/>
      <c r="D465" s="10"/>
      <c r="E465" s="10"/>
      <c r="F465" s="10"/>
    </row>
    <row r="466">
      <c r="B466" s="5"/>
      <c r="C466" s="5"/>
      <c r="D466" s="10"/>
      <c r="E466" s="10"/>
      <c r="F466" s="10"/>
    </row>
    <row r="467">
      <c r="B467" s="5"/>
      <c r="C467" s="5"/>
      <c r="D467" s="10"/>
      <c r="E467" s="10"/>
      <c r="F467" s="10"/>
    </row>
    <row r="468">
      <c r="B468" s="5"/>
      <c r="C468" s="5"/>
      <c r="D468" s="10"/>
      <c r="E468" s="10"/>
      <c r="F468" s="10"/>
    </row>
    <row r="469">
      <c r="B469" s="5"/>
      <c r="C469" s="5"/>
      <c r="D469" s="10"/>
      <c r="E469" s="10"/>
      <c r="F469" s="10"/>
    </row>
    <row r="470">
      <c r="B470" s="5"/>
      <c r="C470" s="5"/>
      <c r="D470" s="10"/>
      <c r="E470" s="10"/>
      <c r="F470" s="10"/>
    </row>
    <row r="471">
      <c r="B471" s="5"/>
      <c r="C471" s="5"/>
      <c r="D471" s="10"/>
      <c r="E471" s="10"/>
      <c r="F471" s="10"/>
    </row>
    <row r="472">
      <c r="B472" s="5"/>
      <c r="C472" s="5"/>
      <c r="D472" s="10"/>
      <c r="E472" s="10"/>
      <c r="F472" s="10"/>
    </row>
    <row r="473">
      <c r="B473" s="5"/>
      <c r="C473" s="5"/>
      <c r="D473" s="10"/>
      <c r="E473" s="10"/>
      <c r="F473" s="10"/>
    </row>
    <row r="474">
      <c r="B474" s="5"/>
      <c r="C474" s="5"/>
      <c r="D474" s="10"/>
      <c r="E474" s="10"/>
      <c r="F474" s="10"/>
    </row>
    <row r="475">
      <c r="B475" s="5"/>
      <c r="C475" s="5"/>
      <c r="D475" s="10"/>
      <c r="E475" s="10"/>
      <c r="F475" s="10"/>
    </row>
    <row r="476">
      <c r="B476" s="5"/>
      <c r="C476" s="5"/>
      <c r="D476" s="10"/>
      <c r="E476" s="10"/>
      <c r="F476" s="10"/>
    </row>
    <row r="477">
      <c r="B477" s="5"/>
      <c r="C477" s="5"/>
      <c r="D477" s="10"/>
      <c r="E477" s="10"/>
      <c r="F477" s="10"/>
    </row>
    <row r="478">
      <c r="B478" s="5"/>
      <c r="C478" s="5"/>
      <c r="D478" s="10"/>
      <c r="E478" s="10"/>
      <c r="F478" s="10"/>
    </row>
    <row r="479">
      <c r="B479" s="5"/>
      <c r="C479" s="5"/>
      <c r="D479" s="10"/>
      <c r="E479" s="10"/>
      <c r="F479" s="10"/>
    </row>
    <row r="480">
      <c r="B480" s="5"/>
      <c r="C480" s="5"/>
      <c r="D480" s="10"/>
      <c r="E480" s="10"/>
      <c r="F480" s="10"/>
    </row>
    <row r="481">
      <c r="B481" s="5"/>
      <c r="C481" s="5"/>
      <c r="D481" s="10"/>
      <c r="E481" s="10"/>
      <c r="F481" s="10"/>
    </row>
    <row r="482">
      <c r="B482" s="5"/>
      <c r="C482" s="5"/>
      <c r="D482" s="10"/>
      <c r="E482" s="10"/>
      <c r="F482" s="10"/>
    </row>
    <row r="483">
      <c r="B483" s="5"/>
      <c r="C483" s="5"/>
      <c r="D483" s="10"/>
      <c r="E483" s="10"/>
      <c r="F483" s="10"/>
    </row>
    <row r="484">
      <c r="B484" s="5"/>
      <c r="C484" s="5"/>
      <c r="D484" s="10"/>
      <c r="E484" s="10"/>
      <c r="F484" s="10"/>
    </row>
    <row r="485">
      <c r="B485" s="5"/>
      <c r="C485" s="5"/>
      <c r="D485" s="10"/>
      <c r="E485" s="10"/>
      <c r="F485" s="10"/>
    </row>
    <row r="486">
      <c r="B486" s="5"/>
      <c r="C486" s="5"/>
      <c r="D486" s="10"/>
      <c r="E486" s="10"/>
      <c r="F486" s="10"/>
    </row>
    <row r="487">
      <c r="B487" s="5"/>
      <c r="C487" s="5"/>
      <c r="D487" s="10"/>
      <c r="E487" s="10"/>
      <c r="F487" s="10"/>
    </row>
    <row r="488">
      <c r="B488" s="5"/>
      <c r="C488" s="5"/>
      <c r="D488" s="10"/>
      <c r="E488" s="10"/>
      <c r="F488" s="10"/>
    </row>
    <row r="489">
      <c r="B489" s="5"/>
      <c r="C489" s="5"/>
      <c r="D489" s="10"/>
      <c r="E489" s="10"/>
      <c r="F489" s="10"/>
    </row>
    <row r="490">
      <c r="B490" s="5"/>
      <c r="C490" s="5"/>
      <c r="D490" s="10"/>
      <c r="E490" s="10"/>
      <c r="F490" s="10"/>
    </row>
    <row r="491">
      <c r="B491" s="5"/>
      <c r="C491" s="5"/>
      <c r="D491" s="10"/>
      <c r="E491" s="10"/>
      <c r="F491" s="10"/>
    </row>
    <row r="492">
      <c r="B492" s="5"/>
      <c r="C492" s="5"/>
      <c r="D492" s="10"/>
      <c r="E492" s="10"/>
      <c r="F492" s="10"/>
    </row>
    <row r="493">
      <c r="B493" s="5"/>
      <c r="C493" s="5"/>
      <c r="D493" s="10"/>
      <c r="E493" s="10"/>
      <c r="F493" s="10"/>
    </row>
    <row r="494">
      <c r="B494" s="5"/>
      <c r="C494" s="5"/>
      <c r="D494" s="10"/>
      <c r="E494" s="10"/>
      <c r="F494" s="10"/>
    </row>
    <row r="495">
      <c r="B495" s="5"/>
      <c r="C495" s="5"/>
      <c r="D495" s="10"/>
      <c r="E495" s="10"/>
      <c r="F495" s="10"/>
    </row>
    <row r="496">
      <c r="B496" s="5"/>
      <c r="C496" s="5"/>
      <c r="D496" s="10"/>
      <c r="E496" s="10"/>
      <c r="F496" s="10"/>
    </row>
    <row r="497">
      <c r="B497" s="5"/>
      <c r="C497" s="5"/>
      <c r="D497" s="10"/>
      <c r="E497" s="10"/>
      <c r="F497" s="10"/>
    </row>
    <row r="498">
      <c r="B498" s="5"/>
      <c r="C498" s="5"/>
      <c r="D498" s="10"/>
      <c r="E498" s="10"/>
      <c r="F498" s="10"/>
    </row>
    <row r="499">
      <c r="B499" s="5"/>
      <c r="C499" s="5"/>
      <c r="D499" s="10"/>
      <c r="E499" s="10"/>
      <c r="F499" s="10"/>
    </row>
    <row r="500">
      <c r="B500" s="5"/>
      <c r="C500" s="5"/>
      <c r="D500" s="10"/>
      <c r="E500" s="10"/>
      <c r="F500" s="10"/>
    </row>
    <row r="501">
      <c r="B501" s="5"/>
      <c r="C501" s="5"/>
      <c r="D501" s="10"/>
      <c r="E501" s="10"/>
      <c r="F501" s="10"/>
    </row>
    <row r="502">
      <c r="B502" s="5"/>
      <c r="C502" s="5"/>
      <c r="D502" s="10"/>
      <c r="E502" s="10"/>
      <c r="F502" s="10"/>
    </row>
    <row r="503">
      <c r="B503" s="5"/>
      <c r="C503" s="5"/>
      <c r="D503" s="10"/>
      <c r="E503" s="10"/>
      <c r="F503" s="10"/>
    </row>
    <row r="504">
      <c r="B504" s="5"/>
      <c r="C504" s="5"/>
      <c r="D504" s="10"/>
      <c r="E504" s="10"/>
      <c r="F504" s="10"/>
    </row>
    <row r="505">
      <c r="B505" s="5"/>
      <c r="C505" s="5"/>
      <c r="D505" s="10"/>
      <c r="E505" s="10"/>
      <c r="F505" s="10"/>
    </row>
    <row r="506">
      <c r="B506" s="5"/>
      <c r="C506" s="5"/>
      <c r="D506" s="10"/>
      <c r="E506" s="10"/>
      <c r="F506" s="10"/>
    </row>
    <row r="507">
      <c r="B507" s="5"/>
      <c r="C507" s="5"/>
      <c r="D507" s="10"/>
      <c r="E507" s="10"/>
      <c r="F507" s="10"/>
    </row>
    <row r="508">
      <c r="B508" s="5"/>
      <c r="C508" s="5"/>
      <c r="D508" s="10"/>
      <c r="E508" s="10"/>
      <c r="F508" s="10"/>
    </row>
    <row r="509">
      <c r="B509" s="5"/>
      <c r="C509" s="5"/>
      <c r="D509" s="10"/>
      <c r="E509" s="10"/>
      <c r="F509" s="10"/>
    </row>
    <row r="510">
      <c r="B510" s="5"/>
      <c r="C510" s="5"/>
      <c r="D510" s="10"/>
      <c r="E510" s="10"/>
      <c r="F510" s="10"/>
    </row>
    <row r="511">
      <c r="B511" s="5"/>
      <c r="C511" s="5"/>
      <c r="D511" s="10"/>
      <c r="E511" s="10"/>
      <c r="F511" s="10"/>
    </row>
    <row r="512">
      <c r="B512" s="5"/>
      <c r="C512" s="5"/>
      <c r="D512" s="10"/>
      <c r="E512" s="10"/>
      <c r="F512" s="10"/>
    </row>
    <row r="513">
      <c r="B513" s="5"/>
      <c r="C513" s="5"/>
      <c r="D513" s="10"/>
      <c r="E513" s="10"/>
      <c r="F513" s="10"/>
    </row>
    <row r="514">
      <c r="B514" s="5"/>
      <c r="C514" s="5"/>
      <c r="D514" s="10"/>
      <c r="E514" s="10"/>
      <c r="F514" s="10"/>
    </row>
    <row r="515">
      <c r="B515" s="5"/>
      <c r="C515" s="5"/>
      <c r="D515" s="10"/>
      <c r="E515" s="10"/>
      <c r="F515" s="10"/>
    </row>
    <row r="516">
      <c r="B516" s="5"/>
      <c r="C516" s="5"/>
      <c r="D516" s="10"/>
      <c r="E516" s="10"/>
      <c r="F516" s="10"/>
    </row>
    <row r="517">
      <c r="B517" s="5"/>
      <c r="C517" s="5"/>
      <c r="D517" s="10"/>
      <c r="E517" s="10"/>
      <c r="F517" s="10"/>
    </row>
    <row r="518">
      <c r="B518" s="5"/>
      <c r="C518" s="5"/>
      <c r="D518" s="10"/>
      <c r="E518" s="10"/>
      <c r="F518" s="10"/>
    </row>
    <row r="519">
      <c r="B519" s="5"/>
      <c r="C519" s="5"/>
      <c r="D519" s="10"/>
      <c r="E519" s="10"/>
      <c r="F519" s="10"/>
    </row>
    <row r="520">
      <c r="B520" s="5"/>
      <c r="C520" s="5"/>
      <c r="D520" s="10"/>
      <c r="E520" s="10"/>
      <c r="F520" s="10"/>
    </row>
    <row r="521">
      <c r="B521" s="5"/>
      <c r="C521" s="5"/>
      <c r="D521" s="10"/>
      <c r="E521" s="10"/>
      <c r="F521" s="10"/>
    </row>
    <row r="522">
      <c r="B522" s="5"/>
      <c r="C522" s="5"/>
      <c r="D522" s="10"/>
      <c r="E522" s="10"/>
      <c r="F522" s="10"/>
    </row>
    <row r="523">
      <c r="B523" s="5"/>
      <c r="C523" s="5"/>
      <c r="D523" s="10"/>
      <c r="E523" s="10"/>
      <c r="F523" s="10"/>
    </row>
    <row r="524">
      <c r="B524" s="5"/>
      <c r="C524" s="5"/>
      <c r="D524" s="10"/>
      <c r="E524" s="10"/>
      <c r="F524" s="10"/>
    </row>
    <row r="525">
      <c r="B525" s="5"/>
      <c r="C525" s="5"/>
      <c r="D525" s="10"/>
      <c r="E525" s="10"/>
      <c r="F525" s="10"/>
    </row>
    <row r="526">
      <c r="B526" s="5"/>
      <c r="C526" s="5"/>
      <c r="D526" s="10"/>
      <c r="E526" s="10"/>
      <c r="F526" s="10"/>
    </row>
    <row r="527">
      <c r="B527" s="5"/>
      <c r="C527" s="5"/>
      <c r="D527" s="10"/>
      <c r="E527" s="10"/>
      <c r="F527" s="10"/>
    </row>
    <row r="528">
      <c r="B528" s="5"/>
      <c r="C528" s="5"/>
      <c r="D528" s="10"/>
      <c r="E528" s="10"/>
      <c r="F528" s="10"/>
    </row>
    <row r="529">
      <c r="B529" s="5"/>
      <c r="C529" s="5"/>
      <c r="D529" s="10"/>
      <c r="E529" s="10"/>
      <c r="F529" s="10"/>
    </row>
    <row r="530">
      <c r="B530" s="5"/>
      <c r="C530" s="5"/>
      <c r="D530" s="10"/>
      <c r="E530" s="10"/>
      <c r="F530" s="10"/>
    </row>
    <row r="531">
      <c r="B531" s="5"/>
      <c r="C531" s="5"/>
      <c r="D531" s="10"/>
      <c r="E531" s="10"/>
      <c r="F531" s="10"/>
    </row>
    <row r="532">
      <c r="B532" s="5"/>
      <c r="C532" s="5"/>
      <c r="D532" s="10"/>
      <c r="E532" s="10"/>
      <c r="F532" s="10"/>
    </row>
    <row r="533">
      <c r="B533" s="5"/>
      <c r="C533" s="5"/>
      <c r="D533" s="10"/>
      <c r="E533" s="10"/>
      <c r="F533" s="10"/>
    </row>
    <row r="534">
      <c r="B534" s="5"/>
      <c r="C534" s="5"/>
      <c r="D534" s="10"/>
      <c r="E534" s="10"/>
      <c r="F534" s="10"/>
    </row>
    <row r="535">
      <c r="B535" s="5"/>
      <c r="C535" s="5"/>
      <c r="D535" s="10"/>
      <c r="E535" s="10"/>
      <c r="F535" s="10"/>
    </row>
    <row r="536">
      <c r="B536" s="5"/>
      <c r="C536" s="5"/>
      <c r="D536" s="10"/>
      <c r="E536" s="10"/>
      <c r="F536" s="10"/>
    </row>
    <row r="537">
      <c r="B537" s="5"/>
      <c r="C537" s="5"/>
      <c r="D537" s="10"/>
      <c r="E537" s="10"/>
      <c r="F537" s="10"/>
    </row>
    <row r="538">
      <c r="B538" s="5"/>
      <c r="C538" s="5"/>
      <c r="D538" s="10"/>
      <c r="E538" s="10"/>
      <c r="F538" s="10"/>
    </row>
    <row r="539">
      <c r="B539" s="5"/>
      <c r="C539" s="5"/>
      <c r="D539" s="10"/>
      <c r="E539" s="10"/>
      <c r="F539" s="10"/>
    </row>
    <row r="540">
      <c r="B540" s="5"/>
      <c r="C540" s="5"/>
      <c r="D540" s="10"/>
      <c r="E540" s="10"/>
      <c r="F540" s="10"/>
    </row>
    <row r="541">
      <c r="B541" s="5"/>
      <c r="C541" s="5"/>
      <c r="D541" s="10"/>
      <c r="E541" s="10"/>
      <c r="F541" s="10"/>
    </row>
    <row r="542">
      <c r="B542" s="5"/>
      <c r="C542" s="5"/>
      <c r="D542" s="10"/>
      <c r="E542" s="10"/>
      <c r="F542" s="10"/>
    </row>
    <row r="543">
      <c r="B543" s="5"/>
      <c r="C543" s="5"/>
      <c r="D543" s="10"/>
      <c r="E543" s="10"/>
      <c r="F543" s="10"/>
    </row>
    <row r="544">
      <c r="B544" s="5"/>
      <c r="C544" s="5"/>
      <c r="D544" s="10"/>
      <c r="E544" s="10"/>
      <c r="F544" s="10"/>
    </row>
    <row r="545">
      <c r="B545" s="5"/>
      <c r="C545" s="5"/>
      <c r="D545" s="10"/>
      <c r="E545" s="10"/>
      <c r="F545" s="10"/>
    </row>
    <row r="546">
      <c r="B546" s="5"/>
      <c r="C546" s="5"/>
      <c r="D546" s="10"/>
      <c r="E546" s="10"/>
      <c r="F546" s="10"/>
    </row>
    <row r="547">
      <c r="B547" s="5"/>
      <c r="C547" s="5"/>
      <c r="D547" s="10"/>
      <c r="E547" s="10"/>
      <c r="F547" s="10"/>
    </row>
    <row r="548">
      <c r="B548" s="5"/>
      <c r="C548" s="5"/>
      <c r="D548" s="10"/>
      <c r="E548" s="10"/>
      <c r="F548" s="10"/>
    </row>
    <row r="549">
      <c r="B549" s="5"/>
      <c r="C549" s="5"/>
      <c r="D549" s="10"/>
      <c r="E549" s="10"/>
      <c r="F549" s="10"/>
    </row>
    <row r="550">
      <c r="B550" s="5"/>
      <c r="C550" s="5"/>
      <c r="D550" s="10"/>
      <c r="E550" s="10"/>
      <c r="F550" s="10"/>
    </row>
    <row r="551">
      <c r="B551" s="5"/>
      <c r="C551" s="5"/>
      <c r="D551" s="10"/>
      <c r="E551" s="10"/>
      <c r="F551" s="10"/>
    </row>
    <row r="552">
      <c r="B552" s="5"/>
      <c r="C552" s="5"/>
      <c r="D552" s="10"/>
      <c r="E552" s="10"/>
      <c r="F552" s="10"/>
    </row>
    <row r="553">
      <c r="B553" s="5"/>
      <c r="C553" s="5"/>
      <c r="D553" s="10"/>
      <c r="E553" s="10"/>
      <c r="F553" s="10"/>
    </row>
    <row r="554">
      <c r="B554" s="5"/>
      <c r="C554" s="5"/>
      <c r="D554" s="10"/>
      <c r="E554" s="10"/>
      <c r="F554" s="10"/>
    </row>
    <row r="555">
      <c r="B555" s="5"/>
      <c r="C555" s="5"/>
      <c r="D555" s="10"/>
      <c r="E555" s="10"/>
      <c r="F555" s="10"/>
    </row>
    <row r="556">
      <c r="B556" s="5"/>
      <c r="C556" s="5"/>
      <c r="D556" s="10"/>
      <c r="E556" s="10"/>
      <c r="F556" s="10"/>
    </row>
    <row r="557">
      <c r="B557" s="5"/>
      <c r="C557" s="5"/>
      <c r="D557" s="10"/>
      <c r="E557" s="10"/>
      <c r="F557" s="10"/>
    </row>
    <row r="558">
      <c r="B558" s="5"/>
      <c r="C558" s="5"/>
      <c r="D558" s="10"/>
      <c r="E558" s="10"/>
      <c r="F558" s="10"/>
    </row>
    <row r="559">
      <c r="B559" s="5"/>
      <c r="C559" s="5"/>
      <c r="D559" s="10"/>
      <c r="E559" s="10"/>
      <c r="F559" s="10"/>
    </row>
    <row r="560">
      <c r="B560" s="5"/>
      <c r="C560" s="5"/>
      <c r="D560" s="10"/>
      <c r="E560" s="10"/>
      <c r="F560" s="10"/>
    </row>
    <row r="561">
      <c r="B561" s="5"/>
      <c r="C561" s="5"/>
      <c r="D561" s="10"/>
      <c r="E561" s="10"/>
      <c r="F561" s="10"/>
    </row>
    <row r="562">
      <c r="B562" s="5"/>
      <c r="C562" s="5"/>
      <c r="D562" s="10"/>
      <c r="E562" s="10"/>
      <c r="F562" s="10"/>
    </row>
    <row r="563">
      <c r="B563" s="5"/>
      <c r="C563" s="5"/>
      <c r="D563" s="10"/>
      <c r="E563" s="10"/>
      <c r="F563" s="10"/>
    </row>
    <row r="564">
      <c r="B564" s="5"/>
      <c r="C564" s="5"/>
      <c r="D564" s="10"/>
      <c r="E564" s="10"/>
      <c r="F564" s="10"/>
    </row>
    <row r="565">
      <c r="B565" s="5"/>
      <c r="C565" s="5"/>
      <c r="D565" s="10"/>
      <c r="E565" s="10"/>
      <c r="F565" s="10"/>
    </row>
    <row r="566">
      <c r="B566" s="5"/>
      <c r="C566" s="5"/>
      <c r="D566" s="10"/>
      <c r="E566" s="10"/>
      <c r="F566" s="10"/>
    </row>
    <row r="567">
      <c r="B567" s="5"/>
      <c r="C567" s="5"/>
      <c r="D567" s="10"/>
      <c r="E567" s="10"/>
      <c r="F567" s="10"/>
    </row>
    <row r="568">
      <c r="B568" s="5"/>
      <c r="C568" s="5"/>
      <c r="D568" s="10"/>
      <c r="E568" s="10"/>
      <c r="F568" s="10"/>
    </row>
    <row r="569">
      <c r="B569" s="5"/>
      <c r="C569" s="5"/>
      <c r="D569" s="10"/>
      <c r="E569" s="10"/>
      <c r="F569" s="10"/>
    </row>
    <row r="570">
      <c r="B570" s="5"/>
      <c r="C570" s="5"/>
      <c r="D570" s="10"/>
      <c r="E570" s="10"/>
      <c r="F570" s="10"/>
    </row>
    <row r="571">
      <c r="B571" s="5"/>
      <c r="C571" s="5"/>
      <c r="D571" s="10"/>
      <c r="E571" s="10"/>
      <c r="F571" s="10"/>
    </row>
    <row r="572">
      <c r="B572" s="5"/>
      <c r="C572" s="5"/>
      <c r="D572" s="10"/>
      <c r="E572" s="10"/>
      <c r="F572" s="10"/>
    </row>
    <row r="573">
      <c r="B573" s="5"/>
      <c r="C573" s="5"/>
      <c r="D573" s="10"/>
      <c r="E573" s="10"/>
      <c r="F573" s="10"/>
    </row>
    <row r="574">
      <c r="B574" s="5"/>
      <c r="C574" s="5"/>
      <c r="D574" s="10"/>
      <c r="E574" s="10"/>
      <c r="F574" s="10"/>
    </row>
    <row r="575">
      <c r="B575" s="5"/>
      <c r="C575" s="5"/>
      <c r="D575" s="10"/>
      <c r="E575" s="10"/>
      <c r="F575" s="10"/>
    </row>
    <row r="576">
      <c r="B576" s="5"/>
      <c r="C576" s="5"/>
      <c r="D576" s="10"/>
      <c r="E576" s="10"/>
      <c r="F576" s="10"/>
    </row>
    <row r="577">
      <c r="B577" s="5"/>
      <c r="C577" s="5"/>
      <c r="D577" s="10"/>
      <c r="E577" s="10"/>
      <c r="F577" s="10"/>
    </row>
    <row r="578">
      <c r="B578" s="5"/>
      <c r="C578" s="5"/>
      <c r="D578" s="10"/>
      <c r="E578" s="10"/>
      <c r="F578" s="10"/>
    </row>
    <row r="579">
      <c r="B579" s="5"/>
      <c r="C579" s="5"/>
      <c r="D579" s="10"/>
      <c r="E579" s="10"/>
      <c r="F579" s="10"/>
    </row>
    <row r="580">
      <c r="B580" s="5"/>
      <c r="C580" s="5"/>
      <c r="D580" s="10"/>
      <c r="E580" s="10"/>
      <c r="F580" s="10"/>
    </row>
    <row r="581">
      <c r="B581" s="5"/>
      <c r="C581" s="5"/>
      <c r="D581" s="10"/>
      <c r="E581" s="10"/>
      <c r="F581" s="10"/>
    </row>
    <row r="582">
      <c r="B582" s="5"/>
      <c r="C582" s="5"/>
      <c r="D582" s="10"/>
      <c r="E582" s="10"/>
      <c r="F582" s="10"/>
    </row>
    <row r="583">
      <c r="B583" s="5"/>
      <c r="C583" s="5"/>
      <c r="D583" s="10"/>
      <c r="E583" s="10"/>
      <c r="F583" s="10"/>
    </row>
    <row r="584">
      <c r="B584" s="5"/>
      <c r="C584" s="5"/>
      <c r="D584" s="10"/>
      <c r="E584" s="10"/>
      <c r="F584" s="10"/>
    </row>
    <row r="585">
      <c r="B585" s="5"/>
      <c r="C585" s="5"/>
      <c r="D585" s="10"/>
      <c r="E585" s="10"/>
      <c r="F585" s="10"/>
    </row>
    <row r="586">
      <c r="B586" s="5"/>
      <c r="C586" s="5"/>
      <c r="D586" s="10"/>
      <c r="E586" s="10"/>
      <c r="F586" s="10"/>
    </row>
    <row r="587">
      <c r="B587" s="5"/>
      <c r="C587" s="5"/>
      <c r="D587" s="10"/>
      <c r="E587" s="10"/>
      <c r="F587" s="10"/>
    </row>
    <row r="588">
      <c r="B588" s="5"/>
      <c r="C588" s="5"/>
      <c r="D588" s="10"/>
      <c r="E588" s="10"/>
      <c r="F588" s="10"/>
    </row>
    <row r="589">
      <c r="B589" s="5"/>
      <c r="C589" s="5"/>
      <c r="D589" s="10"/>
      <c r="E589" s="10"/>
      <c r="F589" s="10"/>
    </row>
    <row r="590">
      <c r="B590" s="5"/>
      <c r="C590" s="5"/>
      <c r="D590" s="10"/>
      <c r="E590" s="10"/>
      <c r="F590" s="10"/>
    </row>
    <row r="591">
      <c r="B591" s="5"/>
      <c r="C591" s="5"/>
      <c r="D591" s="10"/>
      <c r="E591" s="10"/>
      <c r="F591" s="10"/>
    </row>
    <row r="592">
      <c r="B592" s="5"/>
      <c r="C592" s="5"/>
      <c r="D592" s="10"/>
      <c r="E592" s="10"/>
      <c r="F592" s="10"/>
    </row>
    <row r="593">
      <c r="B593" s="5"/>
      <c r="C593" s="5"/>
      <c r="D593" s="10"/>
      <c r="E593" s="10"/>
      <c r="F593" s="10"/>
    </row>
    <row r="594">
      <c r="B594" s="5"/>
      <c r="C594" s="5"/>
      <c r="D594" s="10"/>
      <c r="E594" s="10"/>
      <c r="F594" s="10"/>
    </row>
    <row r="595">
      <c r="B595" s="5"/>
      <c r="C595" s="5"/>
      <c r="D595" s="10"/>
      <c r="E595" s="10"/>
      <c r="F595" s="10"/>
    </row>
    <row r="596">
      <c r="B596" s="5"/>
      <c r="C596" s="5"/>
      <c r="D596" s="10"/>
      <c r="E596" s="10"/>
      <c r="F596" s="10"/>
    </row>
    <row r="597">
      <c r="B597" s="5"/>
      <c r="C597" s="5"/>
      <c r="D597" s="10"/>
      <c r="E597" s="10"/>
      <c r="F597" s="10"/>
    </row>
    <row r="598">
      <c r="B598" s="5"/>
      <c r="C598" s="5"/>
      <c r="D598" s="10"/>
      <c r="E598" s="10"/>
      <c r="F598" s="10"/>
    </row>
    <row r="599">
      <c r="B599" s="5"/>
      <c r="C599" s="5"/>
      <c r="D599" s="10"/>
      <c r="E599" s="10"/>
      <c r="F599" s="10"/>
    </row>
    <row r="600">
      <c r="B600" s="5"/>
      <c r="C600" s="5"/>
      <c r="D600" s="10"/>
      <c r="E600" s="10"/>
      <c r="F600" s="10"/>
    </row>
    <row r="601">
      <c r="B601" s="5"/>
      <c r="C601" s="5"/>
      <c r="D601" s="10"/>
      <c r="E601" s="10"/>
      <c r="F601" s="10"/>
    </row>
    <row r="602">
      <c r="B602" s="5"/>
      <c r="C602" s="5"/>
      <c r="D602" s="10"/>
      <c r="E602" s="10"/>
      <c r="F602" s="10"/>
    </row>
    <row r="603">
      <c r="B603" s="5"/>
      <c r="C603" s="5"/>
      <c r="D603" s="10"/>
      <c r="E603" s="10"/>
      <c r="F603" s="10"/>
    </row>
    <row r="604">
      <c r="B604" s="5"/>
      <c r="C604" s="5"/>
      <c r="D604" s="10"/>
      <c r="E604" s="10"/>
      <c r="F604" s="10"/>
    </row>
    <row r="605">
      <c r="B605" s="5"/>
      <c r="C605" s="5"/>
      <c r="D605" s="10"/>
      <c r="E605" s="10"/>
      <c r="F605" s="10"/>
    </row>
    <row r="606">
      <c r="B606" s="5"/>
      <c r="C606" s="5"/>
      <c r="D606" s="10"/>
      <c r="E606" s="10"/>
      <c r="F606" s="10"/>
    </row>
    <row r="607">
      <c r="B607" s="5"/>
      <c r="C607" s="5"/>
      <c r="D607" s="10"/>
      <c r="E607" s="10"/>
      <c r="F607" s="10"/>
    </row>
    <row r="608">
      <c r="B608" s="5"/>
      <c r="C608" s="5"/>
      <c r="D608" s="10"/>
      <c r="E608" s="10"/>
      <c r="F608" s="10"/>
    </row>
    <row r="609">
      <c r="B609" s="5"/>
      <c r="C609" s="5"/>
      <c r="D609" s="10"/>
      <c r="E609" s="10"/>
      <c r="F609" s="10"/>
    </row>
    <row r="610">
      <c r="B610" s="5"/>
      <c r="C610" s="5"/>
      <c r="D610" s="10"/>
      <c r="E610" s="10"/>
      <c r="F610" s="10"/>
    </row>
    <row r="611">
      <c r="B611" s="5"/>
      <c r="C611" s="5"/>
      <c r="D611" s="10"/>
      <c r="E611" s="10"/>
      <c r="F611" s="10"/>
    </row>
    <row r="612">
      <c r="B612" s="5"/>
      <c r="C612" s="5"/>
      <c r="D612" s="10"/>
      <c r="E612" s="10"/>
      <c r="F612" s="10"/>
    </row>
    <row r="613">
      <c r="B613" s="5"/>
      <c r="C613" s="5"/>
      <c r="D613" s="10"/>
      <c r="E613" s="10"/>
      <c r="F613" s="10"/>
    </row>
    <row r="614">
      <c r="B614" s="5"/>
      <c r="C614" s="5"/>
      <c r="D614" s="10"/>
      <c r="E614" s="10"/>
      <c r="F614" s="10"/>
    </row>
    <row r="615">
      <c r="B615" s="5"/>
      <c r="C615" s="5"/>
      <c r="D615" s="10"/>
      <c r="E615" s="10"/>
      <c r="F615" s="10"/>
    </row>
    <row r="616">
      <c r="B616" s="5"/>
      <c r="C616" s="5"/>
      <c r="D616" s="10"/>
      <c r="E616" s="10"/>
      <c r="F616" s="10"/>
    </row>
    <row r="617">
      <c r="B617" s="5"/>
      <c r="C617" s="5"/>
      <c r="D617" s="10"/>
      <c r="E617" s="10"/>
      <c r="F617" s="10"/>
    </row>
    <row r="618">
      <c r="B618" s="5"/>
      <c r="C618" s="5"/>
      <c r="D618" s="10"/>
      <c r="E618" s="10"/>
      <c r="F618" s="10"/>
    </row>
    <row r="619">
      <c r="B619" s="5"/>
      <c r="C619" s="5"/>
      <c r="D619" s="10"/>
      <c r="E619" s="10"/>
      <c r="F619" s="10"/>
    </row>
    <row r="620">
      <c r="B620" s="5"/>
      <c r="C620" s="5"/>
      <c r="D620" s="10"/>
      <c r="E620" s="10"/>
      <c r="F620" s="10"/>
    </row>
    <row r="621">
      <c r="B621" s="5"/>
      <c r="C621" s="5"/>
      <c r="D621" s="10"/>
      <c r="E621" s="10"/>
      <c r="F621" s="10"/>
    </row>
    <row r="622">
      <c r="B622" s="5"/>
      <c r="C622" s="5"/>
      <c r="D622" s="10"/>
      <c r="E622" s="10"/>
      <c r="F622" s="10"/>
    </row>
    <row r="623">
      <c r="B623" s="5"/>
      <c r="C623" s="5"/>
      <c r="D623" s="10"/>
      <c r="E623" s="10"/>
      <c r="F623" s="10"/>
    </row>
    <row r="624">
      <c r="B624" s="5"/>
      <c r="C624" s="5"/>
      <c r="D624" s="10"/>
      <c r="E624" s="10"/>
      <c r="F624" s="10"/>
    </row>
    <row r="625">
      <c r="B625" s="5"/>
      <c r="C625" s="5"/>
      <c r="D625" s="10"/>
      <c r="E625" s="10"/>
      <c r="F625" s="10"/>
    </row>
    <row r="626">
      <c r="B626" s="5"/>
      <c r="C626" s="5"/>
      <c r="D626" s="10"/>
      <c r="E626" s="10"/>
      <c r="F626" s="10"/>
    </row>
    <row r="627">
      <c r="B627" s="5"/>
      <c r="C627" s="5"/>
      <c r="D627" s="10"/>
      <c r="E627" s="10"/>
      <c r="F627" s="10"/>
    </row>
    <row r="628">
      <c r="B628" s="5"/>
      <c r="C628" s="5"/>
      <c r="D628" s="10"/>
      <c r="E628" s="10"/>
      <c r="F628" s="10"/>
    </row>
    <row r="629">
      <c r="B629" s="5"/>
      <c r="C629" s="5"/>
      <c r="D629" s="10"/>
      <c r="E629" s="10"/>
      <c r="F629" s="10"/>
    </row>
    <row r="630">
      <c r="B630" s="5"/>
      <c r="C630" s="5"/>
      <c r="D630" s="10"/>
      <c r="E630" s="10"/>
      <c r="F630" s="10"/>
    </row>
    <row r="631">
      <c r="B631" s="5"/>
      <c r="C631" s="5"/>
      <c r="D631" s="10"/>
      <c r="E631" s="10"/>
      <c r="F631" s="10"/>
    </row>
    <row r="632">
      <c r="B632" s="5"/>
      <c r="C632" s="5"/>
      <c r="D632" s="10"/>
      <c r="E632" s="10"/>
      <c r="F632" s="10"/>
    </row>
    <row r="633">
      <c r="B633" s="5"/>
      <c r="C633" s="5"/>
      <c r="D633" s="10"/>
      <c r="E633" s="10"/>
      <c r="F633" s="10"/>
    </row>
    <row r="634">
      <c r="B634" s="5"/>
      <c r="C634" s="5"/>
      <c r="D634" s="10"/>
      <c r="E634" s="10"/>
      <c r="F634" s="10"/>
    </row>
    <row r="635">
      <c r="B635" s="5"/>
      <c r="C635" s="5"/>
      <c r="D635" s="10"/>
      <c r="E635" s="10"/>
      <c r="F635" s="10"/>
    </row>
    <row r="636">
      <c r="B636" s="5"/>
      <c r="C636" s="5"/>
      <c r="D636" s="10"/>
      <c r="E636" s="10"/>
      <c r="F636" s="10"/>
    </row>
    <row r="637">
      <c r="B637" s="5"/>
      <c r="C637" s="5"/>
      <c r="D637" s="10"/>
      <c r="E637" s="10"/>
      <c r="F637" s="10"/>
    </row>
    <row r="638">
      <c r="B638" s="5"/>
      <c r="C638" s="5"/>
      <c r="D638" s="10"/>
      <c r="E638" s="10"/>
      <c r="F638" s="10"/>
    </row>
    <row r="639">
      <c r="B639" s="5"/>
      <c r="C639" s="5"/>
      <c r="D639" s="10"/>
      <c r="E639" s="10"/>
      <c r="F639" s="10"/>
    </row>
    <row r="640">
      <c r="B640" s="5"/>
      <c r="C640" s="5"/>
      <c r="D640" s="10"/>
      <c r="E640" s="10"/>
      <c r="F640" s="10"/>
    </row>
    <row r="641">
      <c r="B641" s="5"/>
      <c r="C641" s="5"/>
      <c r="D641" s="10"/>
      <c r="E641" s="10"/>
      <c r="F641" s="10"/>
    </row>
    <row r="642">
      <c r="B642" s="5"/>
      <c r="C642" s="5"/>
      <c r="D642" s="10"/>
      <c r="E642" s="10"/>
      <c r="F642" s="10"/>
    </row>
    <row r="643">
      <c r="B643" s="5"/>
      <c r="C643" s="5"/>
      <c r="D643" s="10"/>
      <c r="E643" s="10"/>
      <c r="F643" s="10"/>
    </row>
    <row r="644">
      <c r="B644" s="5"/>
      <c r="C644" s="5"/>
      <c r="D644" s="10"/>
      <c r="E644" s="10"/>
      <c r="F644" s="10"/>
    </row>
    <row r="645">
      <c r="B645" s="5"/>
      <c r="C645" s="5"/>
      <c r="D645" s="10"/>
      <c r="E645" s="10"/>
      <c r="F645" s="10"/>
    </row>
    <row r="646">
      <c r="B646" s="5"/>
      <c r="C646" s="5"/>
      <c r="D646" s="10"/>
      <c r="E646" s="10"/>
      <c r="F646" s="10"/>
    </row>
    <row r="647">
      <c r="B647" s="5"/>
      <c r="C647" s="5"/>
      <c r="D647" s="10"/>
      <c r="E647" s="10"/>
      <c r="F647" s="10"/>
    </row>
    <row r="648">
      <c r="B648" s="5"/>
      <c r="C648" s="5"/>
      <c r="D648" s="10"/>
      <c r="E648" s="10"/>
      <c r="F648" s="10"/>
    </row>
    <row r="649">
      <c r="B649" s="5"/>
      <c r="C649" s="5"/>
      <c r="D649" s="10"/>
      <c r="E649" s="10"/>
      <c r="F649" s="10"/>
    </row>
    <row r="650">
      <c r="B650" s="5"/>
      <c r="C650" s="5"/>
      <c r="D650" s="10"/>
      <c r="E650" s="10"/>
      <c r="F650" s="10"/>
    </row>
    <row r="651">
      <c r="B651" s="5"/>
      <c r="C651" s="5"/>
      <c r="D651" s="10"/>
      <c r="E651" s="10"/>
      <c r="F651" s="10"/>
    </row>
    <row r="652">
      <c r="B652" s="5"/>
      <c r="C652" s="5"/>
      <c r="D652" s="10"/>
      <c r="E652" s="10"/>
      <c r="F652" s="10"/>
    </row>
    <row r="653">
      <c r="B653" s="5"/>
      <c r="C653" s="5"/>
      <c r="D653" s="10"/>
      <c r="E653" s="10"/>
      <c r="F653" s="10"/>
    </row>
    <row r="654">
      <c r="B654" s="5"/>
      <c r="C654" s="5"/>
      <c r="D654" s="10"/>
      <c r="E654" s="10"/>
      <c r="F654" s="10"/>
    </row>
    <row r="655">
      <c r="B655" s="5"/>
      <c r="C655" s="5"/>
      <c r="D655" s="10"/>
      <c r="E655" s="10"/>
      <c r="F655" s="10"/>
    </row>
    <row r="656">
      <c r="B656" s="5"/>
      <c r="C656" s="5"/>
      <c r="D656" s="10"/>
      <c r="E656" s="10"/>
      <c r="F656" s="10"/>
    </row>
    <row r="657">
      <c r="B657" s="5"/>
      <c r="C657" s="5"/>
      <c r="D657" s="10"/>
      <c r="E657" s="10"/>
      <c r="F657" s="10"/>
    </row>
    <row r="658">
      <c r="B658" s="5"/>
      <c r="C658" s="5"/>
      <c r="D658" s="10"/>
      <c r="E658" s="10"/>
      <c r="F658" s="10"/>
    </row>
    <row r="659">
      <c r="B659" s="5"/>
      <c r="C659" s="5"/>
      <c r="D659" s="10"/>
      <c r="E659" s="10"/>
      <c r="F659" s="10"/>
    </row>
    <row r="660">
      <c r="B660" s="5"/>
      <c r="C660" s="5"/>
      <c r="D660" s="10"/>
      <c r="E660" s="10"/>
      <c r="F660" s="10"/>
    </row>
    <row r="661">
      <c r="B661" s="5"/>
      <c r="C661" s="5"/>
      <c r="D661" s="10"/>
      <c r="E661" s="10"/>
      <c r="F661" s="10"/>
    </row>
    <row r="662">
      <c r="B662" s="5"/>
      <c r="C662" s="5"/>
      <c r="D662" s="10"/>
      <c r="E662" s="10"/>
      <c r="F662" s="10"/>
    </row>
    <row r="663">
      <c r="B663" s="5"/>
      <c r="C663" s="5"/>
      <c r="D663" s="10"/>
      <c r="E663" s="10"/>
      <c r="F663" s="10"/>
    </row>
    <row r="664">
      <c r="B664" s="5"/>
      <c r="C664" s="5"/>
      <c r="D664" s="10"/>
      <c r="E664" s="10"/>
      <c r="F664" s="10"/>
    </row>
    <row r="665">
      <c r="B665" s="5"/>
      <c r="C665" s="5"/>
      <c r="D665" s="10"/>
      <c r="E665" s="10"/>
      <c r="F665" s="10"/>
    </row>
    <row r="666">
      <c r="B666" s="5"/>
      <c r="C666" s="5"/>
      <c r="D666" s="10"/>
      <c r="E666" s="10"/>
      <c r="F666" s="10"/>
    </row>
    <row r="667">
      <c r="B667" s="5"/>
      <c r="C667" s="5"/>
      <c r="D667" s="10"/>
      <c r="E667" s="10"/>
      <c r="F667" s="10"/>
    </row>
    <row r="668">
      <c r="B668" s="5"/>
      <c r="C668" s="5"/>
      <c r="D668" s="10"/>
      <c r="E668" s="10"/>
      <c r="F668" s="10"/>
    </row>
    <row r="669">
      <c r="B669" s="5"/>
      <c r="C669" s="5"/>
      <c r="D669" s="10"/>
      <c r="E669" s="10"/>
      <c r="F669" s="10"/>
    </row>
    <row r="670">
      <c r="B670" s="5"/>
      <c r="C670" s="5"/>
      <c r="D670" s="10"/>
      <c r="E670" s="10"/>
      <c r="F670" s="10"/>
    </row>
    <row r="671">
      <c r="B671" s="5"/>
      <c r="C671" s="5"/>
      <c r="D671" s="10"/>
      <c r="E671" s="10"/>
      <c r="F671" s="10"/>
    </row>
    <row r="672">
      <c r="B672" s="5"/>
      <c r="C672" s="5"/>
      <c r="D672" s="10"/>
      <c r="E672" s="10"/>
      <c r="F672" s="10"/>
    </row>
    <row r="673">
      <c r="B673" s="5"/>
      <c r="C673" s="5"/>
      <c r="D673" s="10"/>
      <c r="E673" s="10"/>
      <c r="F673" s="10"/>
    </row>
    <row r="674">
      <c r="B674" s="5"/>
      <c r="C674" s="5"/>
      <c r="D674" s="10"/>
      <c r="E674" s="10"/>
      <c r="F674" s="10"/>
    </row>
    <row r="675">
      <c r="B675" s="5"/>
      <c r="C675" s="5"/>
      <c r="D675" s="10"/>
      <c r="E675" s="10"/>
      <c r="F675" s="10"/>
    </row>
    <row r="676">
      <c r="B676" s="5"/>
      <c r="C676" s="5"/>
      <c r="D676" s="10"/>
      <c r="E676" s="10"/>
      <c r="F676" s="10"/>
    </row>
    <row r="677">
      <c r="B677" s="5"/>
      <c r="C677" s="5"/>
      <c r="D677" s="10"/>
      <c r="E677" s="10"/>
      <c r="F677" s="10"/>
    </row>
    <row r="678">
      <c r="B678" s="5"/>
      <c r="C678" s="5"/>
      <c r="D678" s="10"/>
      <c r="E678" s="10"/>
      <c r="F678" s="10"/>
    </row>
    <row r="679">
      <c r="B679" s="5"/>
      <c r="C679" s="5"/>
      <c r="D679" s="10"/>
      <c r="E679" s="10"/>
      <c r="F679" s="10"/>
    </row>
    <row r="680">
      <c r="B680" s="5"/>
      <c r="C680" s="5"/>
      <c r="D680" s="10"/>
      <c r="E680" s="10"/>
      <c r="F680" s="10"/>
    </row>
    <row r="681">
      <c r="B681" s="5"/>
      <c r="C681" s="5"/>
      <c r="D681" s="10"/>
      <c r="E681" s="10"/>
      <c r="F681" s="10"/>
    </row>
    <row r="682">
      <c r="B682" s="5"/>
      <c r="C682" s="5"/>
      <c r="D682" s="10"/>
      <c r="E682" s="10"/>
      <c r="F682" s="10"/>
    </row>
    <row r="683">
      <c r="B683" s="5"/>
      <c r="C683" s="5"/>
      <c r="D683" s="10"/>
      <c r="E683" s="10"/>
      <c r="F683" s="10"/>
    </row>
    <row r="684">
      <c r="B684" s="5"/>
      <c r="C684" s="5"/>
      <c r="D684" s="10"/>
      <c r="E684" s="10"/>
      <c r="F684" s="10"/>
    </row>
    <row r="685">
      <c r="B685" s="5"/>
      <c r="C685" s="5"/>
      <c r="D685" s="10"/>
      <c r="E685" s="10"/>
      <c r="F685" s="10"/>
    </row>
    <row r="686">
      <c r="B686" s="5"/>
      <c r="C686" s="5"/>
      <c r="D686" s="10"/>
      <c r="E686" s="10"/>
      <c r="F686" s="10"/>
    </row>
    <row r="687">
      <c r="B687" s="5"/>
      <c r="C687" s="5"/>
      <c r="D687" s="10"/>
      <c r="E687" s="10"/>
      <c r="F687" s="10"/>
    </row>
    <row r="688">
      <c r="B688" s="5"/>
      <c r="C688" s="5"/>
      <c r="D688" s="10"/>
      <c r="E688" s="10"/>
      <c r="F688" s="10"/>
    </row>
    <row r="689">
      <c r="B689" s="5"/>
      <c r="C689" s="5"/>
      <c r="D689" s="10"/>
      <c r="E689" s="10"/>
      <c r="F689" s="10"/>
    </row>
    <row r="690">
      <c r="B690" s="5"/>
      <c r="C690" s="5"/>
      <c r="D690" s="10"/>
      <c r="E690" s="10"/>
      <c r="F690" s="10"/>
    </row>
    <row r="691">
      <c r="B691" s="5"/>
      <c r="C691" s="5"/>
      <c r="D691" s="10"/>
      <c r="E691" s="10"/>
      <c r="F691" s="10"/>
    </row>
    <row r="692">
      <c r="B692" s="5"/>
      <c r="C692" s="5"/>
      <c r="D692" s="10"/>
      <c r="E692" s="10"/>
      <c r="F692" s="10"/>
    </row>
    <row r="693">
      <c r="B693" s="5"/>
      <c r="C693" s="5"/>
      <c r="D693" s="10"/>
      <c r="E693" s="10"/>
      <c r="F693" s="10"/>
    </row>
    <row r="694">
      <c r="B694" s="5"/>
      <c r="C694" s="5"/>
      <c r="D694" s="10"/>
      <c r="E694" s="10"/>
      <c r="F694" s="10"/>
    </row>
    <row r="695">
      <c r="B695" s="5"/>
      <c r="C695" s="5"/>
      <c r="D695" s="10"/>
      <c r="E695" s="10"/>
      <c r="F695" s="10"/>
    </row>
    <row r="696">
      <c r="B696" s="5"/>
      <c r="C696" s="5"/>
      <c r="D696" s="10"/>
      <c r="E696" s="10"/>
      <c r="F696" s="10"/>
    </row>
    <row r="697">
      <c r="B697" s="5"/>
      <c r="C697" s="5"/>
      <c r="D697" s="10"/>
      <c r="E697" s="10"/>
      <c r="F697" s="10"/>
    </row>
    <row r="698">
      <c r="B698" s="5"/>
      <c r="C698" s="5"/>
      <c r="D698" s="10"/>
      <c r="E698" s="10"/>
      <c r="F698" s="10"/>
    </row>
    <row r="699">
      <c r="B699" s="5"/>
      <c r="C699" s="5"/>
      <c r="D699" s="10"/>
      <c r="E699" s="10"/>
      <c r="F699" s="10"/>
    </row>
    <row r="700">
      <c r="B700" s="5"/>
      <c r="C700" s="5"/>
      <c r="D700" s="10"/>
      <c r="E700" s="10"/>
      <c r="F700" s="10"/>
    </row>
    <row r="701">
      <c r="B701" s="5"/>
      <c r="C701" s="5"/>
      <c r="D701" s="10"/>
      <c r="E701" s="10"/>
      <c r="F701" s="10"/>
    </row>
    <row r="702">
      <c r="B702" s="5"/>
      <c r="C702" s="5"/>
      <c r="D702" s="10"/>
      <c r="E702" s="10"/>
      <c r="F702" s="10"/>
    </row>
    <row r="703">
      <c r="B703" s="5"/>
      <c r="C703" s="5"/>
      <c r="D703" s="10"/>
      <c r="E703" s="10"/>
      <c r="F703" s="10"/>
    </row>
    <row r="704">
      <c r="B704" s="5"/>
      <c r="C704" s="5"/>
      <c r="D704" s="10"/>
      <c r="E704" s="10"/>
      <c r="F704" s="10"/>
    </row>
    <row r="705">
      <c r="B705" s="5"/>
      <c r="C705" s="5"/>
      <c r="D705" s="10"/>
      <c r="E705" s="10"/>
      <c r="F705" s="10"/>
    </row>
    <row r="706">
      <c r="B706" s="5"/>
      <c r="C706" s="5"/>
      <c r="D706" s="10"/>
      <c r="E706" s="10"/>
      <c r="F706" s="10"/>
    </row>
    <row r="707">
      <c r="B707" s="5"/>
      <c r="C707" s="5"/>
      <c r="D707" s="10"/>
      <c r="E707" s="10"/>
      <c r="F707" s="10"/>
    </row>
    <row r="708">
      <c r="B708" s="5"/>
      <c r="C708" s="5"/>
      <c r="D708" s="10"/>
      <c r="E708" s="10"/>
      <c r="F708" s="10"/>
    </row>
    <row r="709">
      <c r="B709" s="5"/>
      <c r="C709" s="5"/>
      <c r="D709" s="10"/>
      <c r="E709" s="10"/>
      <c r="F709" s="10"/>
    </row>
    <row r="710">
      <c r="B710" s="5"/>
      <c r="C710" s="5"/>
      <c r="D710" s="10"/>
      <c r="E710" s="10"/>
      <c r="F710" s="10"/>
    </row>
    <row r="711">
      <c r="B711" s="5"/>
      <c r="C711" s="5"/>
      <c r="D711" s="10"/>
      <c r="E711" s="10"/>
      <c r="F711" s="10"/>
    </row>
    <row r="712">
      <c r="B712" s="5"/>
      <c r="C712" s="5"/>
      <c r="D712" s="10"/>
      <c r="E712" s="10"/>
      <c r="F712" s="10"/>
    </row>
    <row r="713">
      <c r="B713" s="5"/>
      <c r="C713" s="5"/>
      <c r="D713" s="10"/>
      <c r="E713" s="10"/>
      <c r="F713" s="10"/>
    </row>
    <row r="714">
      <c r="B714" s="5"/>
      <c r="C714" s="5"/>
      <c r="D714" s="10"/>
      <c r="E714" s="10"/>
      <c r="F714" s="10"/>
    </row>
    <row r="715">
      <c r="B715" s="5"/>
      <c r="C715" s="5"/>
      <c r="D715" s="10"/>
      <c r="E715" s="10"/>
      <c r="F715" s="10"/>
    </row>
    <row r="716">
      <c r="B716" s="5"/>
      <c r="C716" s="5"/>
      <c r="D716" s="10"/>
      <c r="E716" s="10"/>
      <c r="F716" s="10"/>
    </row>
    <row r="717">
      <c r="B717" s="5"/>
      <c r="C717" s="5"/>
      <c r="D717" s="10"/>
      <c r="E717" s="10"/>
      <c r="F717" s="10"/>
    </row>
    <row r="718">
      <c r="B718" s="5"/>
      <c r="C718" s="5"/>
      <c r="D718" s="10"/>
      <c r="E718" s="10"/>
      <c r="F718" s="10"/>
    </row>
    <row r="719">
      <c r="B719" s="5"/>
      <c r="C719" s="5"/>
      <c r="D719" s="10"/>
      <c r="E719" s="10"/>
      <c r="F719" s="10"/>
    </row>
    <row r="720">
      <c r="B720" s="5"/>
      <c r="C720" s="5"/>
      <c r="D720" s="10"/>
      <c r="E720" s="10"/>
      <c r="F720" s="10"/>
    </row>
    <row r="721">
      <c r="B721" s="5"/>
      <c r="C721" s="5"/>
      <c r="D721" s="10"/>
      <c r="E721" s="10"/>
      <c r="F721" s="10"/>
    </row>
    <row r="722">
      <c r="B722" s="5"/>
      <c r="C722" s="5"/>
      <c r="D722" s="10"/>
      <c r="E722" s="10"/>
      <c r="F722" s="10"/>
    </row>
    <row r="723">
      <c r="B723" s="5"/>
      <c r="C723" s="5"/>
      <c r="D723" s="10"/>
      <c r="E723" s="10"/>
      <c r="F723" s="10"/>
    </row>
    <row r="724">
      <c r="B724" s="5"/>
      <c r="C724" s="5"/>
      <c r="D724" s="10"/>
      <c r="E724" s="10"/>
      <c r="F724" s="10"/>
    </row>
    <row r="725">
      <c r="B725" s="5"/>
      <c r="C725" s="5"/>
      <c r="D725" s="10"/>
      <c r="E725" s="10"/>
      <c r="F725" s="10"/>
    </row>
    <row r="726">
      <c r="B726" s="5"/>
      <c r="C726" s="5"/>
      <c r="D726" s="10"/>
      <c r="E726" s="10"/>
      <c r="F726" s="10"/>
    </row>
    <row r="727">
      <c r="B727" s="5"/>
      <c r="C727" s="5"/>
      <c r="D727" s="10"/>
      <c r="E727" s="10"/>
      <c r="F727" s="10"/>
    </row>
    <row r="728">
      <c r="B728" s="5"/>
      <c r="C728" s="5"/>
      <c r="D728" s="10"/>
      <c r="E728" s="10"/>
      <c r="F728" s="10"/>
    </row>
    <row r="729">
      <c r="B729" s="5"/>
      <c r="C729" s="5"/>
      <c r="D729" s="10"/>
      <c r="E729" s="10"/>
      <c r="F729" s="10"/>
    </row>
    <row r="730">
      <c r="B730" s="5"/>
      <c r="C730" s="5"/>
      <c r="D730" s="10"/>
      <c r="E730" s="10"/>
      <c r="F730" s="10"/>
    </row>
    <row r="731">
      <c r="B731" s="5"/>
      <c r="C731" s="5"/>
      <c r="D731" s="10"/>
      <c r="E731" s="10"/>
      <c r="F731" s="10"/>
    </row>
    <row r="732">
      <c r="B732" s="5"/>
      <c r="C732" s="5"/>
      <c r="D732" s="10"/>
      <c r="E732" s="10"/>
      <c r="F732" s="10"/>
    </row>
    <row r="733">
      <c r="B733" s="5"/>
      <c r="C733" s="5"/>
      <c r="D733" s="10"/>
      <c r="E733" s="10"/>
      <c r="F733" s="10"/>
    </row>
    <row r="734">
      <c r="B734" s="5"/>
      <c r="C734" s="5"/>
      <c r="D734" s="10"/>
      <c r="E734" s="10"/>
      <c r="F734" s="10"/>
    </row>
    <row r="735">
      <c r="B735" s="5"/>
      <c r="C735" s="5"/>
      <c r="D735" s="10"/>
      <c r="E735" s="10"/>
      <c r="F735" s="10"/>
    </row>
    <row r="736">
      <c r="B736" s="5"/>
      <c r="C736" s="5"/>
      <c r="D736" s="10"/>
      <c r="E736" s="10"/>
      <c r="F736" s="10"/>
    </row>
    <row r="737">
      <c r="B737" s="5"/>
      <c r="C737" s="5"/>
      <c r="D737" s="10"/>
      <c r="E737" s="10"/>
      <c r="F737" s="10"/>
    </row>
    <row r="738">
      <c r="B738" s="5"/>
      <c r="C738" s="5"/>
      <c r="D738" s="10"/>
      <c r="E738" s="10"/>
      <c r="F738" s="10"/>
    </row>
    <row r="739">
      <c r="B739" s="5"/>
      <c r="C739" s="5"/>
      <c r="D739" s="10"/>
      <c r="E739" s="10"/>
      <c r="F739" s="10"/>
    </row>
    <row r="740">
      <c r="B740" s="5"/>
      <c r="C740" s="5"/>
      <c r="D740" s="10"/>
      <c r="E740" s="10"/>
      <c r="F740" s="10"/>
    </row>
    <row r="741">
      <c r="B741" s="5"/>
      <c r="C741" s="5"/>
      <c r="D741" s="10"/>
      <c r="E741" s="10"/>
      <c r="F741" s="10"/>
    </row>
    <row r="742">
      <c r="B742" s="5"/>
      <c r="C742" s="5"/>
      <c r="D742" s="10"/>
      <c r="E742" s="10"/>
      <c r="F742" s="10"/>
    </row>
    <row r="743">
      <c r="B743" s="5"/>
      <c r="C743" s="5"/>
      <c r="D743" s="10"/>
      <c r="E743" s="10"/>
      <c r="F743" s="10"/>
    </row>
    <row r="744">
      <c r="B744" s="5"/>
      <c r="C744" s="5"/>
      <c r="D744" s="10"/>
      <c r="E744" s="10"/>
      <c r="F744" s="10"/>
    </row>
    <row r="745">
      <c r="B745" s="5"/>
      <c r="C745" s="5"/>
      <c r="D745" s="10"/>
      <c r="E745" s="10"/>
      <c r="F745" s="10"/>
    </row>
    <row r="746">
      <c r="B746" s="5"/>
      <c r="C746" s="5"/>
      <c r="D746" s="10"/>
      <c r="E746" s="10"/>
      <c r="F746" s="10"/>
    </row>
    <row r="747">
      <c r="B747" s="5"/>
      <c r="C747" s="5"/>
      <c r="D747" s="10"/>
      <c r="E747" s="10"/>
      <c r="F747" s="10"/>
    </row>
    <row r="748">
      <c r="B748" s="5"/>
      <c r="C748" s="5"/>
      <c r="D748" s="10"/>
      <c r="E748" s="10"/>
      <c r="F748" s="10"/>
    </row>
    <row r="749">
      <c r="B749" s="5"/>
      <c r="C749" s="5"/>
      <c r="D749" s="10"/>
      <c r="E749" s="10"/>
      <c r="F749" s="10"/>
    </row>
    <row r="750">
      <c r="B750" s="5"/>
      <c r="C750" s="5"/>
      <c r="D750" s="10"/>
      <c r="E750" s="10"/>
      <c r="F750" s="10"/>
    </row>
    <row r="751">
      <c r="B751" s="5"/>
      <c r="C751" s="5"/>
      <c r="D751" s="10"/>
      <c r="E751" s="10"/>
      <c r="F751" s="10"/>
    </row>
    <row r="752">
      <c r="B752" s="5"/>
      <c r="C752" s="5"/>
      <c r="D752" s="10"/>
      <c r="E752" s="10"/>
      <c r="F752" s="10"/>
    </row>
    <row r="753">
      <c r="B753" s="5"/>
      <c r="C753" s="5"/>
      <c r="D753" s="10"/>
      <c r="E753" s="10"/>
      <c r="F753" s="10"/>
    </row>
    <row r="754">
      <c r="B754" s="5"/>
      <c r="C754" s="5"/>
      <c r="D754" s="10"/>
      <c r="E754" s="10"/>
      <c r="F754" s="10"/>
    </row>
    <row r="755">
      <c r="B755" s="5"/>
      <c r="C755" s="5"/>
      <c r="D755" s="10"/>
      <c r="E755" s="10"/>
      <c r="F755" s="10"/>
    </row>
    <row r="756">
      <c r="B756" s="5"/>
      <c r="C756" s="5"/>
      <c r="D756" s="10"/>
      <c r="E756" s="10"/>
      <c r="F756" s="10"/>
    </row>
    <row r="757">
      <c r="B757" s="5"/>
      <c r="C757" s="5"/>
      <c r="D757" s="10"/>
      <c r="E757" s="10"/>
      <c r="F757" s="10"/>
    </row>
    <row r="758">
      <c r="B758" s="5"/>
      <c r="C758" s="5"/>
      <c r="D758" s="10"/>
      <c r="E758" s="10"/>
      <c r="F758" s="10"/>
    </row>
    <row r="759">
      <c r="B759" s="5"/>
      <c r="C759" s="5"/>
      <c r="D759" s="10"/>
      <c r="E759" s="10"/>
      <c r="F759" s="10"/>
    </row>
    <row r="760">
      <c r="B760" s="5"/>
      <c r="C760" s="5"/>
      <c r="D760" s="10"/>
      <c r="E760" s="10"/>
      <c r="F760" s="10"/>
    </row>
    <row r="761">
      <c r="B761" s="5"/>
      <c r="C761" s="5"/>
      <c r="D761" s="10"/>
      <c r="E761" s="10"/>
      <c r="F761" s="10"/>
    </row>
    <row r="762">
      <c r="B762" s="5"/>
      <c r="C762" s="5"/>
      <c r="D762" s="10"/>
      <c r="E762" s="10"/>
      <c r="F762" s="10"/>
    </row>
    <row r="763">
      <c r="B763" s="5"/>
      <c r="C763" s="5"/>
      <c r="D763" s="10"/>
      <c r="E763" s="10"/>
      <c r="F763" s="10"/>
    </row>
    <row r="764">
      <c r="B764" s="5"/>
      <c r="C764" s="5"/>
      <c r="D764" s="10"/>
      <c r="E764" s="10"/>
      <c r="F764" s="10"/>
    </row>
    <row r="765">
      <c r="B765" s="5"/>
      <c r="C765" s="5"/>
      <c r="D765" s="10"/>
      <c r="E765" s="10"/>
      <c r="F765" s="10"/>
    </row>
    <row r="766">
      <c r="B766" s="5"/>
      <c r="C766" s="5"/>
      <c r="D766" s="10"/>
      <c r="E766" s="10"/>
      <c r="F766" s="10"/>
    </row>
    <row r="767">
      <c r="B767" s="5"/>
      <c r="C767" s="5"/>
      <c r="D767" s="10"/>
      <c r="E767" s="10"/>
      <c r="F767" s="10"/>
    </row>
    <row r="768">
      <c r="B768" s="5"/>
      <c r="C768" s="5"/>
      <c r="D768" s="10"/>
      <c r="E768" s="10"/>
      <c r="F768" s="10"/>
    </row>
    <row r="769">
      <c r="B769" s="5"/>
      <c r="C769" s="5"/>
      <c r="D769" s="10"/>
      <c r="E769" s="10"/>
      <c r="F769" s="10"/>
    </row>
    <row r="770">
      <c r="B770" s="5"/>
      <c r="C770" s="5"/>
      <c r="D770" s="10"/>
      <c r="E770" s="10"/>
      <c r="F770" s="10"/>
    </row>
    <row r="771">
      <c r="B771" s="5"/>
      <c r="C771" s="5"/>
      <c r="D771" s="10"/>
      <c r="E771" s="10"/>
      <c r="F771" s="10"/>
    </row>
    <row r="772">
      <c r="B772" s="5"/>
      <c r="C772" s="5"/>
      <c r="D772" s="10"/>
      <c r="E772" s="10"/>
      <c r="F772" s="10"/>
    </row>
    <row r="773">
      <c r="B773" s="5"/>
      <c r="C773" s="5"/>
      <c r="D773" s="10"/>
      <c r="E773" s="10"/>
      <c r="F773" s="10"/>
    </row>
    <row r="774">
      <c r="B774" s="5"/>
      <c r="C774" s="5"/>
      <c r="D774" s="10"/>
      <c r="E774" s="10"/>
      <c r="F774" s="10"/>
    </row>
    <row r="775">
      <c r="B775" s="5"/>
      <c r="C775" s="5"/>
      <c r="D775" s="10"/>
      <c r="E775" s="10"/>
      <c r="F775" s="10"/>
    </row>
    <row r="776">
      <c r="B776" s="5"/>
      <c r="C776" s="5"/>
      <c r="D776" s="10"/>
      <c r="E776" s="10"/>
      <c r="F776" s="10"/>
    </row>
    <row r="777">
      <c r="B777" s="5"/>
      <c r="C777" s="5"/>
      <c r="D777" s="10"/>
      <c r="E777" s="10"/>
      <c r="F777" s="10"/>
    </row>
    <row r="778">
      <c r="B778" s="5"/>
      <c r="C778" s="5"/>
      <c r="D778" s="10"/>
      <c r="E778" s="10"/>
      <c r="F778" s="10"/>
    </row>
    <row r="779">
      <c r="B779" s="5"/>
      <c r="C779" s="5"/>
      <c r="D779" s="10"/>
      <c r="E779" s="10"/>
      <c r="F779" s="10"/>
    </row>
    <row r="780">
      <c r="B780" s="5"/>
      <c r="C780" s="5"/>
      <c r="D780" s="10"/>
      <c r="E780" s="10"/>
      <c r="F780" s="10"/>
    </row>
    <row r="781">
      <c r="B781" s="5"/>
      <c r="C781" s="5"/>
      <c r="D781" s="10"/>
      <c r="E781" s="10"/>
      <c r="F781" s="10"/>
    </row>
    <row r="782">
      <c r="B782" s="5"/>
      <c r="C782" s="5"/>
      <c r="D782" s="10"/>
      <c r="E782" s="10"/>
      <c r="F782" s="10"/>
    </row>
    <row r="783">
      <c r="B783" s="5"/>
      <c r="C783" s="5"/>
      <c r="D783" s="10"/>
      <c r="E783" s="10"/>
      <c r="F783" s="10"/>
    </row>
    <row r="784">
      <c r="B784" s="5"/>
      <c r="C784" s="5"/>
      <c r="D784" s="10"/>
      <c r="E784" s="10"/>
      <c r="F784" s="10"/>
    </row>
    <row r="785">
      <c r="B785" s="5"/>
      <c r="C785" s="5"/>
      <c r="D785" s="10"/>
      <c r="E785" s="10"/>
      <c r="F785" s="10"/>
    </row>
    <row r="786">
      <c r="B786" s="5"/>
      <c r="C786" s="5"/>
      <c r="D786" s="10"/>
      <c r="E786" s="10"/>
      <c r="F786" s="10"/>
    </row>
    <row r="787">
      <c r="B787" s="5"/>
      <c r="C787" s="5"/>
      <c r="D787" s="10"/>
      <c r="E787" s="10"/>
      <c r="F787" s="10"/>
    </row>
    <row r="788">
      <c r="B788" s="5"/>
      <c r="C788" s="5"/>
      <c r="D788" s="10"/>
      <c r="E788" s="10"/>
      <c r="F788" s="10"/>
    </row>
    <row r="789">
      <c r="B789" s="5"/>
      <c r="C789" s="5"/>
      <c r="D789" s="10"/>
      <c r="E789" s="10"/>
      <c r="F789" s="10"/>
    </row>
    <row r="790">
      <c r="B790" s="5"/>
      <c r="C790" s="5"/>
      <c r="D790" s="10"/>
      <c r="E790" s="10"/>
      <c r="F790" s="10"/>
    </row>
    <row r="791">
      <c r="B791" s="5"/>
      <c r="C791" s="5"/>
      <c r="D791" s="10"/>
      <c r="E791" s="10"/>
      <c r="F791" s="10"/>
    </row>
    <row r="792">
      <c r="B792" s="5"/>
      <c r="C792" s="5"/>
      <c r="D792" s="10"/>
      <c r="E792" s="10"/>
      <c r="F792" s="10"/>
    </row>
    <row r="793">
      <c r="B793" s="5"/>
      <c r="C793" s="5"/>
      <c r="D793" s="10"/>
      <c r="E793" s="10"/>
      <c r="F793" s="10"/>
    </row>
    <row r="794">
      <c r="B794" s="5"/>
      <c r="C794" s="5"/>
      <c r="D794" s="10"/>
      <c r="E794" s="10"/>
      <c r="F794" s="10"/>
    </row>
    <row r="795">
      <c r="B795" s="5"/>
      <c r="C795" s="5"/>
      <c r="D795" s="10"/>
      <c r="E795" s="10"/>
      <c r="F795" s="10"/>
    </row>
    <row r="796">
      <c r="B796" s="5"/>
      <c r="C796" s="5"/>
      <c r="D796" s="10"/>
      <c r="E796" s="10"/>
      <c r="F796" s="10"/>
    </row>
    <row r="797">
      <c r="B797" s="5"/>
      <c r="C797" s="5"/>
      <c r="D797" s="10"/>
      <c r="E797" s="10"/>
      <c r="F797" s="10"/>
    </row>
    <row r="798">
      <c r="B798" s="5"/>
      <c r="C798" s="5"/>
      <c r="D798" s="10"/>
      <c r="E798" s="10"/>
      <c r="F798" s="10"/>
    </row>
    <row r="799">
      <c r="B799" s="5"/>
      <c r="C799" s="5"/>
      <c r="D799" s="10"/>
      <c r="E799" s="10"/>
      <c r="F799" s="10"/>
    </row>
    <row r="800">
      <c r="B800" s="5"/>
      <c r="C800" s="5"/>
      <c r="D800" s="10"/>
      <c r="E800" s="10"/>
      <c r="F800" s="10"/>
    </row>
    <row r="801">
      <c r="B801" s="5"/>
      <c r="C801" s="5"/>
      <c r="D801" s="10"/>
      <c r="E801" s="10"/>
      <c r="F801" s="10"/>
    </row>
    <row r="802">
      <c r="B802" s="5"/>
      <c r="C802" s="5"/>
      <c r="D802" s="10"/>
      <c r="E802" s="10"/>
      <c r="F802" s="10"/>
    </row>
    <row r="803">
      <c r="B803" s="5"/>
      <c r="C803" s="5"/>
      <c r="D803" s="10"/>
      <c r="E803" s="10"/>
      <c r="F803" s="10"/>
    </row>
    <row r="804">
      <c r="B804" s="5"/>
      <c r="C804" s="5"/>
      <c r="D804" s="10"/>
      <c r="E804" s="10"/>
      <c r="F804" s="10"/>
    </row>
    <row r="805">
      <c r="B805" s="5"/>
      <c r="C805" s="5"/>
      <c r="D805" s="10"/>
      <c r="E805" s="10"/>
      <c r="F805" s="10"/>
    </row>
    <row r="806">
      <c r="B806" s="5"/>
      <c r="C806" s="5"/>
      <c r="D806" s="10"/>
      <c r="E806" s="10"/>
      <c r="F806" s="10"/>
    </row>
    <row r="807">
      <c r="B807" s="5"/>
      <c r="C807" s="5"/>
      <c r="D807" s="10"/>
      <c r="E807" s="10"/>
      <c r="F807" s="10"/>
    </row>
    <row r="808">
      <c r="B808" s="5"/>
      <c r="C808" s="5"/>
      <c r="D808" s="10"/>
      <c r="E808" s="10"/>
      <c r="F808" s="10"/>
    </row>
    <row r="809">
      <c r="B809" s="5"/>
      <c r="C809" s="5"/>
      <c r="D809" s="10"/>
      <c r="E809" s="10"/>
      <c r="F809" s="10"/>
    </row>
    <row r="810">
      <c r="B810" s="5"/>
      <c r="C810" s="5"/>
      <c r="D810" s="10"/>
      <c r="E810" s="10"/>
      <c r="F810" s="10"/>
    </row>
    <row r="811">
      <c r="B811" s="5"/>
      <c r="C811" s="5"/>
      <c r="D811" s="10"/>
      <c r="E811" s="10"/>
      <c r="F811" s="10"/>
    </row>
    <row r="812">
      <c r="B812" s="5"/>
      <c r="C812" s="5"/>
      <c r="D812" s="10"/>
      <c r="E812" s="10"/>
      <c r="F812" s="10"/>
    </row>
    <row r="813">
      <c r="B813" s="5"/>
      <c r="C813" s="5"/>
      <c r="D813" s="10"/>
      <c r="E813" s="10"/>
      <c r="F813" s="10"/>
    </row>
    <row r="814">
      <c r="B814" s="5"/>
      <c r="C814" s="5"/>
      <c r="D814" s="10"/>
      <c r="E814" s="10"/>
      <c r="F814" s="10"/>
    </row>
    <row r="815">
      <c r="B815" s="5"/>
      <c r="C815" s="5"/>
      <c r="D815" s="10"/>
      <c r="E815" s="10"/>
      <c r="F815" s="10"/>
    </row>
    <row r="816">
      <c r="B816" s="5"/>
      <c r="C816" s="5"/>
      <c r="D816" s="10"/>
      <c r="E816" s="10"/>
      <c r="F816" s="10"/>
    </row>
    <row r="817">
      <c r="B817" s="5"/>
      <c r="C817" s="5"/>
      <c r="D817" s="10"/>
      <c r="E817" s="10"/>
      <c r="F817" s="10"/>
    </row>
    <row r="818">
      <c r="B818" s="5"/>
      <c r="C818" s="5"/>
      <c r="D818" s="10"/>
      <c r="E818" s="10"/>
      <c r="F818" s="10"/>
    </row>
    <row r="819">
      <c r="B819" s="5"/>
      <c r="C819" s="5"/>
      <c r="D819" s="10"/>
      <c r="E819" s="10"/>
      <c r="F819" s="10"/>
    </row>
    <row r="820">
      <c r="B820" s="5"/>
      <c r="C820" s="5"/>
      <c r="D820" s="10"/>
      <c r="E820" s="10"/>
      <c r="F820" s="10"/>
    </row>
    <row r="821">
      <c r="B821" s="5"/>
      <c r="C821" s="5"/>
      <c r="D821" s="10"/>
      <c r="E821" s="10"/>
      <c r="F821" s="10"/>
    </row>
    <row r="822">
      <c r="B822" s="5"/>
      <c r="C822" s="5"/>
      <c r="D822" s="10"/>
      <c r="E822" s="10"/>
      <c r="F822" s="10"/>
    </row>
    <row r="823">
      <c r="B823" s="5"/>
      <c r="C823" s="5"/>
      <c r="D823" s="10"/>
      <c r="E823" s="10"/>
      <c r="F823" s="10"/>
    </row>
    <row r="824">
      <c r="B824" s="5"/>
      <c r="C824" s="5"/>
      <c r="D824" s="10"/>
      <c r="E824" s="10"/>
      <c r="F824" s="10"/>
    </row>
    <row r="825">
      <c r="B825" s="5"/>
      <c r="C825" s="5"/>
      <c r="D825" s="10"/>
      <c r="E825" s="10"/>
      <c r="F825" s="10"/>
    </row>
    <row r="826">
      <c r="B826" s="5"/>
      <c r="C826" s="5"/>
      <c r="D826" s="10"/>
      <c r="E826" s="10"/>
      <c r="F826" s="10"/>
    </row>
    <row r="827">
      <c r="B827" s="5"/>
      <c r="C827" s="5"/>
      <c r="D827" s="10"/>
      <c r="E827" s="10"/>
      <c r="F827" s="10"/>
    </row>
    <row r="828">
      <c r="B828" s="5"/>
      <c r="C828" s="5"/>
      <c r="D828" s="10"/>
      <c r="E828" s="10"/>
      <c r="F828" s="10"/>
    </row>
    <row r="829">
      <c r="B829" s="5"/>
      <c r="C829" s="5"/>
      <c r="D829" s="10"/>
      <c r="E829" s="10"/>
      <c r="F829" s="10"/>
    </row>
    <row r="830">
      <c r="B830" s="5"/>
      <c r="C830" s="5"/>
      <c r="D830" s="10"/>
      <c r="E830" s="10"/>
      <c r="F830" s="10"/>
    </row>
    <row r="831">
      <c r="B831" s="5"/>
      <c r="C831" s="5"/>
      <c r="D831" s="10"/>
      <c r="E831" s="10"/>
      <c r="F831" s="10"/>
    </row>
    <row r="832">
      <c r="B832" s="5"/>
      <c r="C832" s="5"/>
      <c r="D832" s="10"/>
      <c r="E832" s="10"/>
      <c r="F832" s="10"/>
    </row>
    <row r="833">
      <c r="B833" s="5"/>
      <c r="C833" s="5"/>
      <c r="D833" s="10"/>
      <c r="E833" s="10"/>
      <c r="F833" s="10"/>
    </row>
    <row r="834">
      <c r="B834" s="5"/>
      <c r="C834" s="5"/>
      <c r="D834" s="10"/>
      <c r="E834" s="10"/>
      <c r="F834" s="10"/>
    </row>
    <row r="835">
      <c r="B835" s="5"/>
      <c r="C835" s="5"/>
      <c r="D835" s="10"/>
      <c r="E835" s="10"/>
      <c r="F835" s="10"/>
    </row>
    <row r="836">
      <c r="B836" s="5"/>
      <c r="C836" s="5"/>
      <c r="D836" s="10"/>
      <c r="E836" s="10"/>
      <c r="F836" s="10"/>
    </row>
    <row r="837">
      <c r="B837" s="5"/>
      <c r="C837" s="5"/>
      <c r="D837" s="10"/>
      <c r="E837" s="10"/>
      <c r="F837" s="10"/>
    </row>
    <row r="838">
      <c r="B838" s="5"/>
      <c r="C838" s="5"/>
      <c r="D838" s="10"/>
      <c r="E838" s="10"/>
      <c r="F838" s="10"/>
    </row>
    <row r="839">
      <c r="B839" s="5"/>
      <c r="C839" s="5"/>
      <c r="D839" s="10"/>
      <c r="E839" s="10"/>
      <c r="F839" s="10"/>
    </row>
    <row r="840">
      <c r="B840" s="5"/>
      <c r="C840" s="5"/>
      <c r="D840" s="10"/>
      <c r="E840" s="10"/>
      <c r="F840" s="10"/>
    </row>
    <row r="841">
      <c r="B841" s="5"/>
      <c r="C841" s="5"/>
      <c r="D841" s="10"/>
      <c r="E841" s="10"/>
      <c r="F841" s="10"/>
    </row>
    <row r="842">
      <c r="B842" s="5"/>
      <c r="C842" s="5"/>
      <c r="D842" s="10"/>
      <c r="E842" s="10"/>
      <c r="F842" s="10"/>
    </row>
    <row r="843">
      <c r="B843" s="5"/>
      <c r="C843" s="5"/>
      <c r="D843" s="10"/>
      <c r="E843" s="10"/>
      <c r="F843" s="10"/>
    </row>
    <row r="844">
      <c r="B844" s="5"/>
      <c r="C844" s="5"/>
      <c r="D844" s="10"/>
      <c r="E844" s="10"/>
      <c r="F844" s="10"/>
    </row>
    <row r="845">
      <c r="B845" s="5"/>
      <c r="C845" s="5"/>
      <c r="D845" s="10"/>
      <c r="E845" s="10"/>
      <c r="F845" s="10"/>
    </row>
    <row r="846">
      <c r="B846" s="5"/>
      <c r="C846" s="5"/>
      <c r="D846" s="10"/>
      <c r="E846" s="10"/>
      <c r="F846" s="10"/>
    </row>
    <row r="847">
      <c r="B847" s="5"/>
      <c r="C847" s="5"/>
      <c r="D847" s="10"/>
      <c r="E847" s="10"/>
      <c r="F847" s="10"/>
    </row>
    <row r="848">
      <c r="B848" s="5"/>
      <c r="C848" s="5"/>
      <c r="D848" s="10"/>
      <c r="E848" s="10"/>
      <c r="F848" s="10"/>
    </row>
    <row r="849">
      <c r="B849" s="5"/>
      <c r="C849" s="5"/>
      <c r="D849" s="10"/>
      <c r="E849" s="10"/>
      <c r="F849" s="10"/>
    </row>
    <row r="850">
      <c r="B850" s="5"/>
      <c r="C850" s="5"/>
      <c r="D850" s="10"/>
      <c r="E850" s="10"/>
      <c r="F850" s="10"/>
    </row>
    <row r="851">
      <c r="B851" s="5"/>
      <c r="C851" s="5"/>
      <c r="D851" s="10"/>
      <c r="E851" s="10"/>
      <c r="F851" s="10"/>
    </row>
    <row r="852">
      <c r="B852" s="5"/>
      <c r="C852" s="5"/>
      <c r="D852" s="10"/>
      <c r="E852" s="10"/>
      <c r="F852" s="10"/>
    </row>
    <row r="853">
      <c r="B853" s="5"/>
      <c r="C853" s="5"/>
      <c r="D853" s="10"/>
      <c r="E853" s="10"/>
      <c r="F853" s="10"/>
    </row>
    <row r="854">
      <c r="B854" s="5"/>
      <c r="C854" s="5"/>
      <c r="D854" s="10"/>
      <c r="E854" s="10"/>
      <c r="F854" s="10"/>
    </row>
    <row r="855">
      <c r="B855" s="5"/>
      <c r="C855" s="5"/>
      <c r="D855" s="10"/>
      <c r="E855" s="10"/>
      <c r="F855" s="10"/>
    </row>
    <row r="856">
      <c r="B856" s="5"/>
      <c r="C856" s="5"/>
      <c r="D856" s="10"/>
      <c r="E856" s="10"/>
      <c r="F856" s="10"/>
    </row>
    <row r="857">
      <c r="B857" s="5"/>
      <c r="C857" s="5"/>
      <c r="D857" s="10"/>
      <c r="E857" s="10"/>
      <c r="F857" s="10"/>
    </row>
    <row r="858">
      <c r="B858" s="5"/>
      <c r="C858" s="5"/>
      <c r="D858" s="10"/>
      <c r="E858" s="10"/>
      <c r="F858" s="10"/>
    </row>
    <row r="859">
      <c r="B859" s="5"/>
      <c r="C859" s="5"/>
      <c r="D859" s="10"/>
      <c r="E859" s="10"/>
      <c r="F859" s="10"/>
    </row>
    <row r="860">
      <c r="B860" s="5"/>
      <c r="C860" s="5"/>
      <c r="D860" s="10"/>
      <c r="E860" s="10"/>
      <c r="F860" s="10"/>
    </row>
    <row r="861">
      <c r="B861" s="5"/>
      <c r="C861" s="5"/>
      <c r="D861" s="10"/>
      <c r="E861" s="10"/>
      <c r="F861" s="10"/>
    </row>
    <row r="862">
      <c r="B862" s="5"/>
      <c r="C862" s="5"/>
      <c r="D862" s="10"/>
      <c r="E862" s="10"/>
      <c r="F862" s="10"/>
    </row>
    <row r="863">
      <c r="B863" s="5"/>
      <c r="C863" s="5"/>
      <c r="D863" s="10"/>
      <c r="E863" s="10"/>
      <c r="F863" s="10"/>
    </row>
    <row r="864">
      <c r="B864" s="5"/>
      <c r="C864" s="5"/>
      <c r="D864" s="10"/>
      <c r="E864" s="10"/>
      <c r="F864" s="10"/>
    </row>
    <row r="865">
      <c r="B865" s="5"/>
      <c r="C865" s="5"/>
      <c r="D865" s="10"/>
      <c r="E865" s="10"/>
      <c r="F865" s="10"/>
    </row>
    <row r="866">
      <c r="B866" s="5"/>
      <c r="C866" s="5"/>
      <c r="D866" s="10"/>
      <c r="E866" s="10"/>
      <c r="F866" s="10"/>
    </row>
    <row r="867">
      <c r="B867" s="5"/>
      <c r="C867" s="5"/>
      <c r="D867" s="10"/>
      <c r="E867" s="10"/>
      <c r="F867" s="10"/>
    </row>
    <row r="868">
      <c r="B868" s="5"/>
      <c r="C868" s="5"/>
      <c r="D868" s="10"/>
      <c r="E868" s="10"/>
      <c r="F868" s="10"/>
    </row>
    <row r="869">
      <c r="B869" s="5"/>
      <c r="C869" s="5"/>
      <c r="D869" s="10"/>
      <c r="E869" s="10"/>
      <c r="F869" s="10"/>
    </row>
    <row r="870">
      <c r="B870" s="5"/>
      <c r="C870" s="5"/>
      <c r="D870" s="10"/>
      <c r="E870" s="10"/>
      <c r="F870" s="10"/>
    </row>
    <row r="871">
      <c r="B871" s="5"/>
      <c r="C871" s="5"/>
      <c r="D871" s="10"/>
      <c r="E871" s="10"/>
      <c r="F871" s="10"/>
    </row>
    <row r="872">
      <c r="B872" s="5"/>
      <c r="C872" s="5"/>
      <c r="D872" s="10"/>
      <c r="E872" s="10"/>
      <c r="F872" s="10"/>
    </row>
    <row r="873">
      <c r="B873" s="5"/>
      <c r="C873" s="5"/>
      <c r="D873" s="10"/>
      <c r="E873" s="10"/>
      <c r="F873" s="10"/>
    </row>
    <row r="874">
      <c r="B874" s="5"/>
      <c r="C874" s="5"/>
      <c r="D874" s="10"/>
      <c r="E874" s="10"/>
      <c r="F874" s="10"/>
    </row>
    <row r="875">
      <c r="B875" s="5"/>
      <c r="C875" s="5"/>
      <c r="D875" s="10"/>
      <c r="E875" s="10"/>
      <c r="F875" s="10"/>
    </row>
    <row r="876">
      <c r="B876" s="5"/>
      <c r="C876" s="5"/>
      <c r="D876" s="10"/>
      <c r="E876" s="10"/>
      <c r="F876" s="10"/>
    </row>
    <row r="877">
      <c r="B877" s="5"/>
      <c r="C877" s="5"/>
      <c r="D877" s="10"/>
      <c r="E877" s="10"/>
      <c r="F877" s="10"/>
    </row>
    <row r="878">
      <c r="B878" s="5"/>
      <c r="C878" s="5"/>
      <c r="D878" s="10"/>
      <c r="E878" s="10"/>
      <c r="F878" s="10"/>
    </row>
    <row r="879">
      <c r="B879" s="5"/>
      <c r="C879" s="5"/>
      <c r="D879" s="10"/>
      <c r="E879" s="10"/>
      <c r="F879" s="10"/>
    </row>
    <row r="880">
      <c r="B880" s="5"/>
      <c r="C880" s="5"/>
      <c r="D880" s="10"/>
      <c r="E880" s="10"/>
      <c r="F880" s="10"/>
    </row>
    <row r="881">
      <c r="B881" s="5"/>
      <c r="C881" s="5"/>
      <c r="D881" s="10"/>
      <c r="E881" s="10"/>
      <c r="F881" s="10"/>
    </row>
    <row r="882">
      <c r="B882" s="5"/>
      <c r="C882" s="5"/>
      <c r="D882" s="10"/>
      <c r="E882" s="10"/>
      <c r="F882" s="10"/>
    </row>
    <row r="883">
      <c r="B883" s="5"/>
      <c r="C883" s="5"/>
      <c r="D883" s="10"/>
      <c r="E883" s="10"/>
      <c r="F883" s="10"/>
    </row>
    <row r="884">
      <c r="B884" s="5"/>
      <c r="C884" s="5"/>
      <c r="D884" s="10"/>
      <c r="E884" s="10"/>
      <c r="F884" s="10"/>
    </row>
    <row r="885">
      <c r="B885" s="5"/>
      <c r="C885" s="5"/>
      <c r="D885" s="10"/>
      <c r="E885" s="10"/>
      <c r="F885" s="10"/>
    </row>
    <row r="886">
      <c r="B886" s="5"/>
      <c r="C886" s="5"/>
      <c r="D886" s="10"/>
      <c r="E886" s="10"/>
      <c r="F886" s="10"/>
    </row>
    <row r="887">
      <c r="B887" s="5"/>
      <c r="C887" s="5"/>
      <c r="D887" s="10"/>
      <c r="E887" s="10"/>
      <c r="F887" s="10"/>
    </row>
    <row r="888">
      <c r="B888" s="5"/>
      <c r="C888" s="5"/>
      <c r="D888" s="10"/>
      <c r="E888" s="10"/>
      <c r="F888" s="10"/>
    </row>
    <row r="889">
      <c r="B889" s="5"/>
      <c r="C889" s="5"/>
      <c r="D889" s="10"/>
      <c r="E889" s="10"/>
      <c r="F889" s="10"/>
    </row>
    <row r="890">
      <c r="B890" s="5"/>
      <c r="C890" s="5"/>
      <c r="D890" s="10"/>
      <c r="E890" s="10"/>
      <c r="F890" s="10"/>
    </row>
    <row r="891">
      <c r="B891" s="5"/>
      <c r="C891" s="5"/>
      <c r="D891" s="10"/>
      <c r="E891" s="10"/>
      <c r="F891" s="10"/>
    </row>
    <row r="892">
      <c r="B892" s="5"/>
      <c r="C892" s="5"/>
      <c r="D892" s="10"/>
      <c r="E892" s="10"/>
      <c r="F892" s="10"/>
    </row>
    <row r="893">
      <c r="B893" s="5"/>
      <c r="C893" s="5"/>
      <c r="D893" s="10"/>
      <c r="E893" s="10"/>
      <c r="F893" s="10"/>
    </row>
    <row r="894">
      <c r="B894" s="5"/>
      <c r="C894" s="5"/>
      <c r="D894" s="10"/>
      <c r="E894" s="10"/>
      <c r="F894" s="10"/>
    </row>
    <row r="895">
      <c r="B895" s="5"/>
      <c r="C895" s="5"/>
      <c r="D895" s="10"/>
      <c r="E895" s="10"/>
      <c r="F895" s="10"/>
    </row>
    <row r="896">
      <c r="B896" s="5"/>
      <c r="C896" s="5"/>
      <c r="D896" s="10"/>
      <c r="E896" s="10"/>
      <c r="F896" s="10"/>
    </row>
    <row r="897">
      <c r="B897" s="5"/>
      <c r="C897" s="5"/>
      <c r="D897" s="10"/>
      <c r="E897" s="10"/>
      <c r="F897" s="10"/>
    </row>
    <row r="898">
      <c r="B898" s="5"/>
      <c r="C898" s="5"/>
      <c r="D898" s="10"/>
      <c r="E898" s="10"/>
      <c r="F898" s="10"/>
    </row>
    <row r="899">
      <c r="B899" s="5"/>
      <c r="C899" s="5"/>
      <c r="D899" s="10"/>
      <c r="E899" s="10"/>
      <c r="F899" s="10"/>
    </row>
    <row r="900">
      <c r="B900" s="5"/>
      <c r="C900" s="5"/>
      <c r="D900" s="10"/>
      <c r="E900" s="10"/>
      <c r="F900" s="10"/>
    </row>
    <row r="901">
      <c r="B901" s="5"/>
      <c r="C901" s="5"/>
      <c r="D901" s="10"/>
      <c r="E901" s="10"/>
      <c r="F901" s="10"/>
    </row>
    <row r="902">
      <c r="B902" s="5"/>
      <c r="C902" s="5"/>
      <c r="D902" s="10"/>
      <c r="E902" s="10"/>
      <c r="F902" s="10"/>
    </row>
    <row r="903">
      <c r="B903" s="5"/>
      <c r="C903" s="5"/>
      <c r="D903" s="10"/>
      <c r="E903" s="10"/>
      <c r="F903" s="10"/>
    </row>
    <row r="904">
      <c r="B904" s="5"/>
      <c r="C904" s="5"/>
      <c r="D904" s="10"/>
      <c r="E904" s="10"/>
      <c r="F904" s="10"/>
    </row>
    <row r="905">
      <c r="B905" s="5"/>
      <c r="C905" s="5"/>
      <c r="D905" s="10"/>
      <c r="E905" s="10"/>
      <c r="F905" s="10"/>
    </row>
    <row r="906">
      <c r="B906" s="5"/>
      <c r="C906" s="5"/>
      <c r="D906" s="10"/>
      <c r="E906" s="10"/>
      <c r="F906" s="10"/>
    </row>
    <row r="907">
      <c r="B907" s="5"/>
      <c r="C907" s="5"/>
      <c r="D907" s="10"/>
      <c r="E907" s="10"/>
      <c r="F907" s="10"/>
    </row>
    <row r="908">
      <c r="B908" s="5"/>
      <c r="C908" s="5"/>
      <c r="D908" s="10"/>
      <c r="E908" s="10"/>
      <c r="F908" s="10"/>
    </row>
    <row r="909">
      <c r="B909" s="5"/>
      <c r="C909" s="5"/>
      <c r="D909" s="10"/>
      <c r="E909" s="10"/>
      <c r="F909" s="10"/>
    </row>
    <row r="910">
      <c r="B910" s="5"/>
      <c r="C910" s="5"/>
      <c r="D910" s="10"/>
      <c r="E910" s="10"/>
      <c r="F910" s="10"/>
    </row>
    <row r="911">
      <c r="B911" s="5"/>
      <c r="C911" s="5"/>
      <c r="D911" s="10"/>
      <c r="E911" s="10"/>
      <c r="F911" s="10"/>
    </row>
    <row r="912">
      <c r="B912" s="5"/>
      <c r="C912" s="5"/>
      <c r="D912" s="10"/>
      <c r="E912" s="10"/>
      <c r="F912" s="10"/>
    </row>
    <row r="913">
      <c r="B913" s="5"/>
      <c r="C913" s="5"/>
      <c r="D913" s="10"/>
      <c r="E913" s="10"/>
      <c r="F913" s="10"/>
    </row>
    <row r="914">
      <c r="B914" s="5"/>
      <c r="C914" s="5"/>
      <c r="D914" s="10"/>
      <c r="E914" s="10"/>
      <c r="F914" s="10"/>
    </row>
    <row r="915">
      <c r="B915" s="5"/>
      <c r="C915" s="5"/>
      <c r="D915" s="10"/>
      <c r="E915" s="10"/>
      <c r="F915" s="10"/>
    </row>
    <row r="916">
      <c r="B916" s="5"/>
      <c r="C916" s="5"/>
      <c r="D916" s="10"/>
      <c r="E916" s="10"/>
      <c r="F916" s="10"/>
    </row>
    <row r="917">
      <c r="B917" s="5"/>
      <c r="C917" s="5"/>
      <c r="D917" s="10"/>
      <c r="E917" s="10"/>
      <c r="F917" s="10"/>
    </row>
    <row r="918">
      <c r="B918" s="5"/>
      <c r="C918" s="5"/>
      <c r="D918" s="10"/>
      <c r="E918" s="10"/>
      <c r="F918" s="10"/>
    </row>
    <row r="919">
      <c r="B919" s="5"/>
      <c r="C919" s="5"/>
      <c r="D919" s="10"/>
      <c r="E919" s="10"/>
      <c r="F919" s="10"/>
    </row>
    <row r="920">
      <c r="B920" s="5"/>
      <c r="C920" s="5"/>
      <c r="D920" s="10"/>
      <c r="E920" s="10"/>
      <c r="F920" s="10"/>
    </row>
    <row r="921">
      <c r="B921" s="5"/>
      <c r="C921" s="5"/>
      <c r="D921" s="10"/>
      <c r="E921" s="10"/>
      <c r="F921" s="10"/>
    </row>
    <row r="922">
      <c r="B922" s="5"/>
      <c r="C922" s="5"/>
      <c r="D922" s="10"/>
      <c r="E922" s="10"/>
      <c r="F922" s="10"/>
    </row>
    <row r="923">
      <c r="B923" s="5"/>
      <c r="C923" s="5"/>
      <c r="D923" s="10"/>
      <c r="E923" s="10"/>
      <c r="F923" s="10"/>
    </row>
    <row r="924">
      <c r="B924" s="5"/>
      <c r="C924" s="5"/>
      <c r="D924" s="10"/>
      <c r="E924" s="10"/>
      <c r="F924" s="10"/>
    </row>
    <row r="925">
      <c r="B925" s="5"/>
      <c r="C925" s="5"/>
      <c r="D925" s="10"/>
      <c r="E925" s="10"/>
      <c r="F925" s="10"/>
    </row>
    <row r="926">
      <c r="B926" s="5"/>
      <c r="C926" s="5"/>
      <c r="D926" s="10"/>
      <c r="E926" s="10"/>
      <c r="F926" s="10"/>
    </row>
    <row r="927">
      <c r="B927" s="5"/>
      <c r="C927" s="5"/>
      <c r="D927" s="10"/>
      <c r="E927" s="10"/>
      <c r="F927" s="10"/>
    </row>
    <row r="928">
      <c r="B928" s="5"/>
      <c r="C928" s="5"/>
      <c r="D928" s="10"/>
      <c r="E928" s="10"/>
      <c r="F928" s="10"/>
    </row>
    <row r="929">
      <c r="B929" s="5"/>
      <c r="C929" s="5"/>
      <c r="D929" s="10"/>
      <c r="E929" s="10"/>
      <c r="F929" s="10"/>
    </row>
    <row r="930">
      <c r="B930" s="5"/>
      <c r="C930" s="5"/>
      <c r="D930" s="10"/>
      <c r="E930" s="10"/>
      <c r="F930" s="10"/>
    </row>
    <row r="931">
      <c r="B931" s="5"/>
      <c r="C931" s="5"/>
      <c r="D931" s="10"/>
      <c r="E931" s="10"/>
      <c r="F931" s="10"/>
    </row>
    <row r="932">
      <c r="B932" s="5"/>
      <c r="C932" s="5"/>
      <c r="D932" s="10"/>
      <c r="E932" s="10"/>
      <c r="F932" s="10"/>
    </row>
    <row r="933">
      <c r="B933" s="5"/>
      <c r="C933" s="5"/>
      <c r="D933" s="10"/>
      <c r="E933" s="10"/>
      <c r="F933" s="10"/>
    </row>
    <row r="934">
      <c r="B934" s="5"/>
      <c r="C934" s="5"/>
      <c r="D934" s="10"/>
      <c r="E934" s="10"/>
      <c r="F934" s="10"/>
    </row>
    <row r="935">
      <c r="B935" s="5"/>
      <c r="C935" s="5"/>
      <c r="D935" s="10"/>
      <c r="E935" s="10"/>
      <c r="F935" s="10"/>
    </row>
    <row r="936">
      <c r="B936" s="5"/>
      <c r="C936" s="5"/>
      <c r="D936" s="10"/>
      <c r="E936" s="10"/>
      <c r="F936" s="10"/>
    </row>
    <row r="937">
      <c r="B937" s="5"/>
      <c r="C937" s="5"/>
      <c r="D937" s="10"/>
      <c r="E937" s="10"/>
      <c r="F937" s="10"/>
    </row>
    <row r="938">
      <c r="B938" s="5"/>
      <c r="C938" s="5"/>
      <c r="D938" s="10"/>
      <c r="E938" s="10"/>
      <c r="F938" s="10"/>
    </row>
    <row r="939">
      <c r="B939" s="5"/>
      <c r="C939" s="5"/>
      <c r="D939" s="10"/>
      <c r="E939" s="10"/>
      <c r="F939" s="10"/>
    </row>
    <row r="940">
      <c r="B940" s="5"/>
      <c r="C940" s="5"/>
      <c r="D940" s="10"/>
      <c r="E940" s="10"/>
      <c r="F940" s="10"/>
    </row>
    <row r="941">
      <c r="B941" s="5"/>
      <c r="C941" s="5"/>
      <c r="D941" s="10"/>
      <c r="E941" s="10"/>
      <c r="F941" s="10"/>
    </row>
    <row r="942">
      <c r="B942" s="5"/>
      <c r="C942" s="5"/>
      <c r="D942" s="10"/>
      <c r="E942" s="10"/>
      <c r="F942" s="10"/>
    </row>
    <row r="943">
      <c r="B943" s="5"/>
      <c r="C943" s="5"/>
      <c r="D943" s="10"/>
      <c r="E943" s="10"/>
      <c r="F943" s="10"/>
    </row>
    <row r="944">
      <c r="B944" s="5"/>
      <c r="C944" s="5"/>
      <c r="D944" s="10"/>
      <c r="E944" s="10"/>
      <c r="F944" s="10"/>
    </row>
    <row r="945">
      <c r="B945" s="5"/>
      <c r="C945" s="5"/>
      <c r="D945" s="10"/>
      <c r="E945" s="10"/>
      <c r="F945" s="10"/>
    </row>
    <row r="946">
      <c r="B946" s="5"/>
      <c r="C946" s="5"/>
      <c r="D946" s="10"/>
      <c r="E946" s="10"/>
      <c r="F946" s="10"/>
    </row>
    <row r="947">
      <c r="B947" s="5"/>
      <c r="C947" s="5"/>
      <c r="D947" s="10"/>
      <c r="E947" s="10"/>
      <c r="F947" s="10"/>
    </row>
    <row r="948">
      <c r="B948" s="5"/>
      <c r="C948" s="5"/>
      <c r="D948" s="10"/>
      <c r="E948" s="10"/>
      <c r="F948" s="10"/>
    </row>
    <row r="949">
      <c r="B949" s="5"/>
      <c r="C949" s="5"/>
      <c r="D949" s="10"/>
      <c r="E949" s="10"/>
      <c r="F949" s="10"/>
    </row>
    <row r="950">
      <c r="B950" s="5"/>
      <c r="C950" s="5"/>
      <c r="D950" s="10"/>
      <c r="E950" s="10"/>
      <c r="F950" s="10"/>
    </row>
    <row r="951">
      <c r="B951" s="5"/>
      <c r="C951" s="5"/>
      <c r="D951" s="10"/>
      <c r="E951" s="10"/>
      <c r="F951" s="10"/>
    </row>
    <row r="952">
      <c r="B952" s="5"/>
      <c r="C952" s="5"/>
      <c r="D952" s="10"/>
      <c r="E952" s="10"/>
      <c r="F952" s="10"/>
    </row>
    <row r="953">
      <c r="B953" s="5"/>
      <c r="C953" s="5"/>
      <c r="D953" s="10"/>
      <c r="E953" s="10"/>
      <c r="F953" s="10"/>
    </row>
    <row r="954">
      <c r="B954" s="5"/>
      <c r="C954" s="5"/>
      <c r="D954" s="10"/>
      <c r="E954" s="10"/>
      <c r="F954" s="10"/>
    </row>
    <row r="955">
      <c r="B955" s="5"/>
      <c r="C955" s="5"/>
      <c r="D955" s="10"/>
      <c r="E955" s="10"/>
      <c r="F955" s="10"/>
    </row>
    <row r="956">
      <c r="B956" s="5"/>
      <c r="C956" s="5"/>
      <c r="D956" s="10"/>
      <c r="E956" s="10"/>
      <c r="F956" s="10"/>
    </row>
    <row r="957">
      <c r="B957" s="5"/>
      <c r="C957" s="5"/>
      <c r="D957" s="10"/>
      <c r="E957" s="10"/>
      <c r="F957" s="10"/>
    </row>
    <row r="958">
      <c r="B958" s="5"/>
      <c r="C958" s="5"/>
      <c r="D958" s="10"/>
      <c r="E958" s="10"/>
      <c r="F958" s="10"/>
    </row>
    <row r="959">
      <c r="B959" s="5"/>
      <c r="C959" s="5"/>
      <c r="D959" s="10"/>
      <c r="E959" s="10"/>
      <c r="F959" s="1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16.88"/>
    <col customWidth="1" min="3" max="3" width="26.88"/>
    <col customWidth="1" min="4" max="4" width="36.25"/>
    <col customWidth="1" min="5" max="5" width="19.38"/>
  </cols>
  <sheetData>
    <row r="1">
      <c r="A1" s="1" t="s">
        <v>167</v>
      </c>
      <c r="B1" s="13">
        <v>18.0</v>
      </c>
      <c r="C1" s="16"/>
      <c r="F1" s="53"/>
      <c r="G1" s="53"/>
    </row>
    <row r="2">
      <c r="B2" s="13"/>
      <c r="C2" s="10"/>
      <c r="F2" s="53"/>
      <c r="G2" s="53"/>
    </row>
    <row r="3">
      <c r="A3" s="54" t="s">
        <v>171</v>
      </c>
      <c r="B3" s="13">
        <v>24.0</v>
      </c>
      <c r="C3" s="16"/>
      <c r="F3" s="55"/>
      <c r="G3" s="55"/>
    </row>
    <row r="4">
      <c r="B4" s="13"/>
      <c r="C4" s="16"/>
    </row>
    <row r="5">
      <c r="B5" s="13"/>
      <c r="C5" s="16"/>
    </row>
    <row r="6">
      <c r="A6" s="54"/>
      <c r="B6" s="13"/>
      <c r="C6" s="16"/>
    </row>
    <row r="7">
      <c r="A7" s="1" t="s">
        <v>174</v>
      </c>
      <c r="B7" s="13">
        <v>10.0</v>
      </c>
      <c r="C7" s="16"/>
    </row>
    <row r="8">
      <c r="B8" s="56"/>
      <c r="C8" s="57"/>
      <c r="E8" s="53"/>
      <c r="F8" s="55"/>
      <c r="G8" s="55"/>
    </row>
    <row r="9">
      <c r="A9" s="1" t="s">
        <v>176</v>
      </c>
      <c r="B9" s="56">
        <v>20.0</v>
      </c>
      <c r="C9" s="16"/>
      <c r="E9" s="53"/>
      <c r="F9" s="55"/>
      <c r="G9" s="55"/>
    </row>
    <row r="10">
      <c r="B10" s="13"/>
      <c r="C10" s="16"/>
    </row>
    <row r="11">
      <c r="B11" s="56"/>
      <c r="C11" s="10"/>
      <c r="E11" s="53"/>
      <c r="F11" s="55"/>
      <c r="G11" s="55"/>
    </row>
    <row r="12">
      <c r="B12" s="56"/>
      <c r="C12" s="16"/>
      <c r="E12" s="53"/>
      <c r="F12" s="55"/>
      <c r="G12" s="55"/>
    </row>
    <row r="13">
      <c r="B13" s="56"/>
      <c r="C13" s="16"/>
      <c r="E13" s="53"/>
      <c r="F13" s="55"/>
      <c r="G13" s="55"/>
    </row>
    <row r="14">
      <c r="A14" s="1" t="s">
        <v>179</v>
      </c>
      <c r="B14" s="56">
        <v>20.0</v>
      </c>
      <c r="C14" s="16"/>
      <c r="E14" s="53"/>
      <c r="F14" s="55"/>
      <c r="G14" s="55"/>
    </row>
    <row r="15">
      <c r="A15" s="1" t="s">
        <v>180</v>
      </c>
      <c r="B15" s="56">
        <v>10.0</v>
      </c>
      <c r="C15" s="16"/>
      <c r="E15" s="53"/>
      <c r="F15" s="55"/>
      <c r="G15" s="55"/>
    </row>
    <row r="16">
      <c r="A16" s="1" t="s">
        <v>182</v>
      </c>
      <c r="B16" s="56">
        <v>10.0</v>
      </c>
      <c r="C16" s="16"/>
      <c r="E16" s="53"/>
      <c r="F16" s="55"/>
      <c r="G16" s="55"/>
    </row>
    <row r="17">
      <c r="B17" s="56"/>
      <c r="C17" s="16"/>
      <c r="E17" s="53"/>
      <c r="F17" s="55"/>
      <c r="G17" s="55"/>
    </row>
    <row r="18">
      <c r="A18" s="1" t="s">
        <v>183</v>
      </c>
      <c r="B18" s="56">
        <v>10.0</v>
      </c>
      <c r="C18" s="16"/>
      <c r="E18" s="53"/>
      <c r="F18" s="55"/>
      <c r="G18" s="55"/>
    </row>
    <row r="19">
      <c r="B19" s="56"/>
      <c r="C19" s="10"/>
      <c r="E19" s="53"/>
      <c r="F19" s="55"/>
      <c r="G19" s="55"/>
    </row>
    <row r="20">
      <c r="A20" s="58" t="s">
        <v>185</v>
      </c>
      <c r="B20" s="56">
        <v>10.0</v>
      </c>
      <c r="C20" s="16"/>
      <c r="E20" s="53"/>
      <c r="F20" s="55"/>
      <c r="G20" s="55"/>
    </row>
    <row r="21">
      <c r="B21" s="56"/>
      <c r="C21" s="16"/>
      <c r="E21" s="53"/>
      <c r="F21" s="55"/>
      <c r="G21" s="55"/>
    </row>
    <row r="22">
      <c r="A22" s="1"/>
      <c r="B22" s="59"/>
      <c r="C22" s="10"/>
      <c r="E22" s="53"/>
      <c r="F22" s="55"/>
      <c r="G22" s="55"/>
    </row>
    <row r="23">
      <c r="B23" s="5"/>
      <c r="C23" s="10"/>
    </row>
    <row r="24">
      <c r="B24" s="5"/>
      <c r="C24" s="10"/>
    </row>
    <row r="25">
      <c r="B25" s="5"/>
      <c r="C25" s="10"/>
    </row>
    <row r="26">
      <c r="B26" s="5"/>
      <c r="C26" s="10"/>
    </row>
    <row r="27">
      <c r="B27" s="5"/>
      <c r="C27" s="10"/>
    </row>
    <row r="28">
      <c r="B28" s="5"/>
      <c r="C28" s="10"/>
    </row>
    <row r="29">
      <c r="B29" s="5"/>
      <c r="C29" s="10"/>
    </row>
    <row r="30">
      <c r="B30" s="5"/>
      <c r="C30" s="10"/>
    </row>
    <row r="31">
      <c r="B31" s="5"/>
      <c r="C31" s="10"/>
    </row>
    <row r="32">
      <c r="B32" s="5"/>
      <c r="C32" s="10"/>
    </row>
    <row r="33">
      <c r="B33" s="5"/>
      <c r="C33" s="10"/>
    </row>
    <row r="34">
      <c r="B34" s="5"/>
      <c r="C34" s="10"/>
    </row>
    <row r="35">
      <c r="B35" s="5"/>
      <c r="C35" s="10"/>
    </row>
    <row r="36">
      <c r="B36" s="5"/>
      <c r="C36" s="10"/>
    </row>
    <row r="37">
      <c r="B37" s="5"/>
      <c r="C37" s="10"/>
    </row>
    <row r="38">
      <c r="B38" s="5"/>
      <c r="C38" s="10"/>
    </row>
    <row r="39">
      <c r="B39" s="5"/>
      <c r="C39" s="10"/>
    </row>
    <row r="40">
      <c r="B40" s="5"/>
      <c r="C40" s="10"/>
    </row>
    <row r="41">
      <c r="B41" s="5"/>
      <c r="C41" s="10"/>
    </row>
    <row r="42">
      <c r="B42" s="5"/>
      <c r="C42" s="10"/>
    </row>
    <row r="43">
      <c r="B43" s="5"/>
      <c r="C43" s="10"/>
    </row>
    <row r="44">
      <c r="B44" s="5"/>
      <c r="C44" s="10"/>
    </row>
    <row r="45">
      <c r="B45" s="5"/>
      <c r="C45" s="10"/>
    </row>
    <row r="46">
      <c r="B46" s="5"/>
      <c r="C46" s="10"/>
    </row>
    <row r="47">
      <c r="B47" s="5"/>
      <c r="C47" s="10"/>
    </row>
    <row r="48">
      <c r="B48" s="5"/>
      <c r="C48" s="10"/>
    </row>
    <row r="49">
      <c r="B49" s="5"/>
      <c r="C49" s="10"/>
    </row>
    <row r="50">
      <c r="B50" s="5"/>
      <c r="C50" s="10"/>
    </row>
    <row r="51">
      <c r="B51" s="5"/>
      <c r="C51" s="10"/>
    </row>
    <row r="52">
      <c r="B52" s="5"/>
      <c r="C52" s="10"/>
    </row>
    <row r="53">
      <c r="B53" s="5"/>
      <c r="C53" s="10"/>
    </row>
    <row r="54">
      <c r="B54" s="5"/>
      <c r="C54" s="10"/>
    </row>
    <row r="55">
      <c r="B55" s="5"/>
      <c r="C55" s="10"/>
    </row>
    <row r="56">
      <c r="B56" s="5"/>
      <c r="C56" s="10"/>
    </row>
    <row r="57">
      <c r="B57" s="5"/>
      <c r="C57" s="10"/>
    </row>
    <row r="58">
      <c r="B58" s="5"/>
      <c r="C58" s="10"/>
    </row>
    <row r="59">
      <c r="B59" s="5"/>
      <c r="C59" s="10"/>
    </row>
    <row r="60">
      <c r="B60" s="5"/>
      <c r="C60" s="10"/>
    </row>
    <row r="61">
      <c r="B61" s="5"/>
      <c r="C61" s="10"/>
    </row>
    <row r="62">
      <c r="B62" s="5"/>
      <c r="C62" s="10"/>
    </row>
    <row r="63">
      <c r="B63" s="5"/>
      <c r="C63" s="10"/>
    </row>
    <row r="64">
      <c r="B64" s="5"/>
      <c r="C64" s="10"/>
    </row>
    <row r="65">
      <c r="B65" s="5"/>
      <c r="C65" s="10"/>
    </row>
    <row r="66">
      <c r="B66" s="5"/>
      <c r="C66" s="10"/>
    </row>
    <row r="67">
      <c r="B67" s="5"/>
      <c r="C67" s="10"/>
    </row>
    <row r="68">
      <c r="B68" s="5"/>
      <c r="C68" s="10"/>
    </row>
    <row r="69">
      <c r="B69" s="5"/>
      <c r="C69" s="10"/>
    </row>
    <row r="70">
      <c r="B70" s="5"/>
      <c r="C70" s="10"/>
    </row>
    <row r="71">
      <c r="B71" s="5"/>
      <c r="C71" s="10"/>
    </row>
    <row r="72">
      <c r="B72" s="5"/>
      <c r="C72" s="10"/>
    </row>
    <row r="73">
      <c r="B73" s="5"/>
      <c r="C73" s="10"/>
    </row>
    <row r="74">
      <c r="B74" s="5"/>
      <c r="C74" s="10"/>
    </row>
    <row r="75">
      <c r="B75" s="5"/>
      <c r="C75" s="10"/>
    </row>
    <row r="76">
      <c r="B76" s="5"/>
      <c r="C76" s="10"/>
    </row>
    <row r="77">
      <c r="B77" s="5"/>
      <c r="C77" s="10"/>
    </row>
    <row r="78">
      <c r="B78" s="5"/>
      <c r="C78" s="10"/>
    </row>
    <row r="79">
      <c r="B79" s="5"/>
      <c r="C79" s="10"/>
    </row>
    <row r="80">
      <c r="B80" s="5"/>
      <c r="C80" s="10"/>
    </row>
    <row r="81">
      <c r="B81" s="5"/>
      <c r="C81" s="10"/>
    </row>
    <row r="82">
      <c r="B82" s="5"/>
      <c r="C82" s="10"/>
    </row>
    <row r="83">
      <c r="B83" s="5"/>
      <c r="C83" s="10"/>
    </row>
    <row r="84">
      <c r="B84" s="5"/>
      <c r="C84" s="10"/>
    </row>
    <row r="85">
      <c r="B85" s="5"/>
      <c r="C85" s="10"/>
    </row>
    <row r="86">
      <c r="B86" s="5"/>
      <c r="C86" s="10"/>
    </row>
    <row r="87">
      <c r="B87" s="5"/>
      <c r="C87" s="10"/>
    </row>
    <row r="88">
      <c r="B88" s="5"/>
      <c r="C88" s="10"/>
    </row>
    <row r="89">
      <c r="B89" s="5"/>
      <c r="C89" s="10"/>
    </row>
    <row r="90">
      <c r="B90" s="5"/>
      <c r="C90" s="10"/>
    </row>
    <row r="91">
      <c r="B91" s="5"/>
      <c r="C91" s="10"/>
    </row>
    <row r="92">
      <c r="B92" s="5"/>
      <c r="C92" s="10"/>
    </row>
    <row r="93">
      <c r="B93" s="5"/>
      <c r="C93" s="10"/>
    </row>
    <row r="94">
      <c r="B94" s="5"/>
      <c r="C94" s="10"/>
    </row>
    <row r="95">
      <c r="B95" s="5"/>
      <c r="C95" s="10"/>
    </row>
    <row r="96">
      <c r="B96" s="5"/>
      <c r="C96" s="10"/>
    </row>
    <row r="97">
      <c r="B97" s="5"/>
      <c r="C97" s="10"/>
    </row>
    <row r="98">
      <c r="B98" s="5"/>
      <c r="C98" s="10"/>
    </row>
    <row r="99">
      <c r="B99" s="5"/>
      <c r="C99" s="10"/>
    </row>
    <row r="100">
      <c r="B100" s="5"/>
      <c r="C100" s="10"/>
    </row>
    <row r="101">
      <c r="B101" s="5"/>
      <c r="C101" s="10"/>
    </row>
    <row r="102">
      <c r="B102" s="5"/>
      <c r="C102" s="10"/>
    </row>
    <row r="103">
      <c r="B103" s="5"/>
      <c r="C103" s="10"/>
    </row>
    <row r="104">
      <c r="B104" s="5"/>
      <c r="C104" s="10"/>
    </row>
    <row r="105">
      <c r="B105" s="5"/>
      <c r="C105" s="10"/>
    </row>
    <row r="106">
      <c r="B106" s="5"/>
      <c r="C106" s="10"/>
    </row>
    <row r="107">
      <c r="B107" s="5"/>
      <c r="C107" s="10"/>
    </row>
    <row r="108">
      <c r="B108" s="5"/>
      <c r="C108" s="10"/>
    </row>
    <row r="109">
      <c r="B109" s="5"/>
      <c r="C109" s="10"/>
    </row>
    <row r="110">
      <c r="B110" s="5"/>
      <c r="C110" s="10"/>
    </row>
    <row r="111">
      <c r="B111" s="5"/>
      <c r="C111" s="10"/>
    </row>
    <row r="112">
      <c r="B112" s="5"/>
      <c r="C112" s="10"/>
    </row>
    <row r="113">
      <c r="B113" s="5"/>
      <c r="C113" s="10"/>
    </row>
    <row r="114">
      <c r="B114" s="5"/>
      <c r="C114" s="10"/>
    </row>
    <row r="115">
      <c r="B115" s="5"/>
      <c r="C115" s="10"/>
    </row>
    <row r="116">
      <c r="B116" s="5"/>
      <c r="C116" s="10"/>
    </row>
    <row r="117">
      <c r="B117" s="5"/>
      <c r="C117" s="10"/>
    </row>
    <row r="118">
      <c r="B118" s="5"/>
      <c r="C118" s="10"/>
    </row>
    <row r="119">
      <c r="B119" s="5"/>
      <c r="C119" s="10"/>
    </row>
    <row r="120">
      <c r="B120" s="5"/>
      <c r="C120" s="10"/>
    </row>
    <row r="121">
      <c r="B121" s="5"/>
      <c r="C121" s="10"/>
    </row>
    <row r="122">
      <c r="B122" s="5"/>
      <c r="C122" s="10"/>
    </row>
    <row r="123">
      <c r="B123" s="5"/>
      <c r="C123" s="10"/>
    </row>
    <row r="124">
      <c r="B124" s="5"/>
      <c r="C124" s="10"/>
    </row>
    <row r="125">
      <c r="B125" s="5"/>
      <c r="C125" s="10"/>
    </row>
    <row r="126">
      <c r="B126" s="5"/>
      <c r="C126" s="10"/>
    </row>
    <row r="127">
      <c r="B127" s="5"/>
      <c r="C127" s="10"/>
    </row>
    <row r="128">
      <c r="B128" s="5"/>
      <c r="C128" s="10"/>
    </row>
    <row r="129">
      <c r="B129" s="5"/>
      <c r="C129" s="10"/>
    </row>
    <row r="130">
      <c r="B130" s="5"/>
      <c r="C130" s="10"/>
    </row>
    <row r="131">
      <c r="B131" s="5"/>
      <c r="C131" s="10"/>
    </row>
    <row r="132">
      <c r="B132" s="5"/>
      <c r="C132" s="10"/>
    </row>
    <row r="133">
      <c r="B133" s="5"/>
      <c r="C133" s="10"/>
    </row>
    <row r="134">
      <c r="B134" s="5"/>
      <c r="C134" s="10"/>
    </row>
    <row r="135">
      <c r="B135" s="5"/>
      <c r="C135" s="10"/>
    </row>
    <row r="136">
      <c r="B136" s="5"/>
      <c r="C136" s="10"/>
    </row>
    <row r="137">
      <c r="B137" s="5"/>
      <c r="C137" s="10"/>
    </row>
    <row r="138">
      <c r="B138" s="5"/>
      <c r="C138" s="10"/>
    </row>
    <row r="139">
      <c r="B139" s="5"/>
      <c r="C139" s="10"/>
    </row>
    <row r="140">
      <c r="B140" s="5"/>
      <c r="C140" s="10"/>
    </row>
    <row r="141">
      <c r="B141" s="5"/>
      <c r="C141" s="10"/>
    </row>
    <row r="142">
      <c r="B142" s="5"/>
      <c r="C142" s="10"/>
    </row>
    <row r="143">
      <c r="B143" s="5"/>
      <c r="C143" s="10"/>
    </row>
    <row r="144">
      <c r="B144" s="5"/>
      <c r="C144" s="10"/>
    </row>
    <row r="145">
      <c r="B145" s="5"/>
      <c r="C145" s="10"/>
    </row>
    <row r="146">
      <c r="B146" s="5"/>
      <c r="C146" s="10"/>
    </row>
    <row r="147">
      <c r="B147" s="5"/>
      <c r="C147" s="10"/>
    </row>
    <row r="148">
      <c r="B148" s="5"/>
      <c r="C148" s="10"/>
    </row>
    <row r="149">
      <c r="B149" s="5"/>
      <c r="C149" s="10"/>
    </row>
    <row r="150">
      <c r="B150" s="5"/>
      <c r="C150" s="10"/>
    </row>
    <row r="151">
      <c r="B151" s="5"/>
      <c r="C151" s="10"/>
    </row>
    <row r="152">
      <c r="B152" s="5"/>
      <c r="C152" s="10"/>
    </row>
    <row r="153">
      <c r="B153" s="5"/>
      <c r="C153" s="10"/>
    </row>
    <row r="154">
      <c r="B154" s="5"/>
      <c r="C154" s="10"/>
    </row>
    <row r="155">
      <c r="B155" s="5"/>
      <c r="C155" s="10"/>
    </row>
    <row r="156">
      <c r="B156" s="5"/>
      <c r="C156" s="10"/>
    </row>
    <row r="157">
      <c r="B157" s="5"/>
      <c r="C157" s="10"/>
    </row>
    <row r="158">
      <c r="B158" s="5"/>
      <c r="C158" s="10"/>
    </row>
    <row r="159">
      <c r="B159" s="5"/>
      <c r="C159" s="10"/>
    </row>
    <row r="160">
      <c r="B160" s="5"/>
      <c r="C160" s="10"/>
    </row>
    <row r="161">
      <c r="B161" s="5"/>
      <c r="C161" s="10"/>
    </row>
    <row r="162">
      <c r="B162" s="5"/>
      <c r="C162" s="10"/>
    </row>
    <row r="163">
      <c r="B163" s="5"/>
      <c r="C163" s="10"/>
    </row>
    <row r="164">
      <c r="B164" s="5"/>
      <c r="C164" s="10"/>
    </row>
    <row r="165">
      <c r="B165" s="5"/>
      <c r="C165" s="10"/>
    </row>
    <row r="166">
      <c r="B166" s="5"/>
      <c r="C166" s="10"/>
    </row>
    <row r="167">
      <c r="B167" s="5"/>
      <c r="C167" s="10"/>
    </row>
    <row r="168">
      <c r="B168" s="5"/>
      <c r="C168" s="10"/>
    </row>
    <row r="169">
      <c r="B169" s="5"/>
      <c r="C169" s="10"/>
    </row>
    <row r="170">
      <c r="B170" s="5"/>
      <c r="C170" s="10"/>
    </row>
    <row r="171">
      <c r="B171" s="5"/>
      <c r="C171" s="10"/>
    </row>
    <row r="172">
      <c r="B172" s="5"/>
      <c r="C172" s="10"/>
    </row>
    <row r="173">
      <c r="B173" s="5"/>
      <c r="C173" s="10"/>
    </row>
    <row r="174">
      <c r="B174" s="5"/>
      <c r="C174" s="10"/>
    </row>
    <row r="175">
      <c r="B175" s="5"/>
      <c r="C175" s="10"/>
    </row>
    <row r="176">
      <c r="B176" s="5"/>
      <c r="C176" s="10"/>
    </row>
    <row r="177">
      <c r="B177" s="5"/>
      <c r="C177" s="10"/>
    </row>
    <row r="178">
      <c r="B178" s="5"/>
      <c r="C178" s="10"/>
    </row>
    <row r="179">
      <c r="B179" s="5"/>
      <c r="C179" s="10"/>
    </row>
    <row r="180">
      <c r="B180" s="5"/>
      <c r="C180" s="10"/>
    </row>
    <row r="181">
      <c r="B181" s="5"/>
      <c r="C181" s="10"/>
    </row>
    <row r="182">
      <c r="B182" s="5"/>
      <c r="C182" s="10"/>
    </row>
    <row r="183">
      <c r="B183" s="5"/>
      <c r="C183" s="10"/>
    </row>
    <row r="184">
      <c r="B184" s="5"/>
      <c r="C184" s="10"/>
    </row>
    <row r="185">
      <c r="B185" s="5"/>
      <c r="C185" s="10"/>
    </row>
    <row r="186">
      <c r="B186" s="5"/>
      <c r="C186" s="10"/>
    </row>
    <row r="187">
      <c r="B187" s="5"/>
      <c r="C187" s="10"/>
    </row>
    <row r="188">
      <c r="B188" s="5"/>
      <c r="C188" s="10"/>
    </row>
    <row r="189">
      <c r="B189" s="5"/>
      <c r="C189" s="10"/>
    </row>
    <row r="190">
      <c r="B190" s="5"/>
      <c r="C190" s="10"/>
    </row>
    <row r="191">
      <c r="B191" s="5"/>
      <c r="C191" s="10"/>
    </row>
    <row r="192">
      <c r="B192" s="5"/>
      <c r="C192" s="10"/>
    </row>
    <row r="193">
      <c r="B193" s="5"/>
      <c r="C193" s="10"/>
    </row>
    <row r="194">
      <c r="B194" s="5"/>
      <c r="C194" s="10"/>
    </row>
    <row r="195">
      <c r="B195" s="5"/>
      <c r="C195" s="10"/>
    </row>
    <row r="196">
      <c r="B196" s="5"/>
      <c r="C196" s="10"/>
    </row>
    <row r="197">
      <c r="B197" s="5"/>
      <c r="C197" s="10"/>
    </row>
    <row r="198">
      <c r="B198" s="5"/>
      <c r="C198" s="10"/>
    </row>
    <row r="199">
      <c r="B199" s="5"/>
      <c r="C199" s="10"/>
    </row>
    <row r="200">
      <c r="B200" s="5"/>
      <c r="C200" s="10"/>
    </row>
    <row r="201">
      <c r="B201" s="5"/>
      <c r="C201" s="10"/>
    </row>
    <row r="202">
      <c r="B202" s="5"/>
      <c r="C202" s="10"/>
    </row>
    <row r="203">
      <c r="B203" s="5"/>
      <c r="C203" s="10"/>
    </row>
    <row r="204">
      <c r="B204" s="5"/>
      <c r="C204" s="10"/>
    </row>
    <row r="205">
      <c r="B205" s="5"/>
      <c r="C205" s="10"/>
    </row>
    <row r="206">
      <c r="B206" s="5"/>
      <c r="C206" s="10"/>
    </row>
    <row r="207">
      <c r="B207" s="5"/>
      <c r="C207" s="10"/>
    </row>
    <row r="208">
      <c r="B208" s="5"/>
      <c r="C208" s="10"/>
    </row>
    <row r="209">
      <c r="B209" s="5"/>
      <c r="C209" s="10"/>
    </row>
    <row r="210">
      <c r="B210" s="5"/>
      <c r="C210" s="10"/>
    </row>
    <row r="211">
      <c r="B211" s="5"/>
      <c r="C211" s="10"/>
    </row>
    <row r="212">
      <c r="B212" s="5"/>
      <c r="C212" s="10"/>
    </row>
    <row r="213">
      <c r="B213" s="5"/>
      <c r="C213" s="10"/>
    </row>
    <row r="214">
      <c r="B214" s="5"/>
      <c r="C214" s="10"/>
    </row>
    <row r="215">
      <c r="B215" s="5"/>
      <c r="C215" s="10"/>
    </row>
    <row r="216">
      <c r="B216" s="5"/>
      <c r="C216" s="10"/>
    </row>
    <row r="217">
      <c r="B217" s="5"/>
      <c r="C217" s="10"/>
    </row>
    <row r="218">
      <c r="B218" s="5"/>
      <c r="C218" s="10"/>
    </row>
    <row r="219">
      <c r="B219" s="5"/>
      <c r="C219" s="10"/>
    </row>
    <row r="220">
      <c r="B220" s="5"/>
      <c r="C220" s="10"/>
    </row>
    <row r="221">
      <c r="B221" s="5"/>
      <c r="C221" s="10"/>
    </row>
    <row r="222">
      <c r="B222" s="5"/>
      <c r="C222" s="10"/>
    </row>
    <row r="223">
      <c r="B223" s="5"/>
      <c r="C223" s="10"/>
    </row>
    <row r="224">
      <c r="B224" s="5"/>
      <c r="C224" s="10"/>
    </row>
    <row r="225">
      <c r="B225" s="5"/>
      <c r="C225" s="10"/>
    </row>
    <row r="226">
      <c r="B226" s="5"/>
      <c r="C226" s="10"/>
    </row>
    <row r="227">
      <c r="B227" s="5"/>
      <c r="C227" s="10"/>
    </row>
    <row r="228">
      <c r="B228" s="5"/>
      <c r="C228" s="10"/>
    </row>
    <row r="229">
      <c r="B229" s="5"/>
      <c r="C229" s="10"/>
    </row>
    <row r="230">
      <c r="B230" s="5"/>
      <c r="C230" s="10"/>
    </row>
    <row r="231">
      <c r="B231" s="5"/>
      <c r="C231" s="10"/>
    </row>
    <row r="232">
      <c r="B232" s="5"/>
      <c r="C232" s="10"/>
    </row>
    <row r="233">
      <c r="B233" s="5"/>
      <c r="C233" s="10"/>
    </row>
    <row r="234">
      <c r="B234" s="5"/>
      <c r="C234" s="10"/>
    </row>
    <row r="235">
      <c r="B235" s="5"/>
      <c r="C235" s="10"/>
    </row>
    <row r="236">
      <c r="B236" s="5"/>
      <c r="C236" s="10"/>
    </row>
    <row r="237">
      <c r="B237" s="5"/>
      <c r="C237" s="10"/>
    </row>
    <row r="238">
      <c r="B238" s="5"/>
      <c r="C238" s="10"/>
    </row>
    <row r="239">
      <c r="B239" s="5"/>
      <c r="C239" s="10"/>
    </row>
    <row r="240">
      <c r="B240" s="5"/>
      <c r="C240" s="10"/>
    </row>
    <row r="241">
      <c r="B241" s="5"/>
      <c r="C241" s="10"/>
    </row>
    <row r="242">
      <c r="B242" s="5"/>
      <c r="C242" s="10"/>
    </row>
    <row r="243">
      <c r="B243" s="5"/>
      <c r="C243" s="10"/>
    </row>
    <row r="244">
      <c r="B244" s="5"/>
      <c r="C244" s="10"/>
    </row>
    <row r="245">
      <c r="B245" s="5"/>
      <c r="C245" s="10"/>
    </row>
    <row r="246">
      <c r="B246" s="5"/>
      <c r="C246" s="10"/>
    </row>
    <row r="247">
      <c r="B247" s="5"/>
      <c r="C247" s="10"/>
    </row>
    <row r="248">
      <c r="B248" s="5"/>
      <c r="C248" s="10"/>
    </row>
    <row r="249">
      <c r="B249" s="5"/>
      <c r="C249" s="10"/>
    </row>
    <row r="250">
      <c r="B250" s="5"/>
      <c r="C250" s="10"/>
    </row>
    <row r="251">
      <c r="B251" s="5"/>
      <c r="C251" s="10"/>
    </row>
    <row r="252">
      <c r="B252" s="5"/>
      <c r="C252" s="10"/>
    </row>
    <row r="253">
      <c r="B253" s="5"/>
      <c r="C253" s="10"/>
    </row>
    <row r="254">
      <c r="B254" s="5"/>
      <c r="C254" s="10"/>
    </row>
    <row r="255">
      <c r="B255" s="5"/>
      <c r="C255" s="10"/>
    </row>
    <row r="256">
      <c r="B256" s="5"/>
      <c r="C256" s="10"/>
    </row>
    <row r="257">
      <c r="B257" s="5"/>
      <c r="C257" s="10"/>
    </row>
    <row r="258">
      <c r="B258" s="5"/>
      <c r="C258" s="10"/>
    </row>
    <row r="259">
      <c r="B259" s="5"/>
      <c r="C259" s="10"/>
    </row>
    <row r="260">
      <c r="B260" s="5"/>
      <c r="C260" s="10"/>
    </row>
    <row r="261">
      <c r="B261" s="5"/>
      <c r="C261" s="10"/>
    </row>
    <row r="262">
      <c r="B262" s="5"/>
      <c r="C262" s="10"/>
    </row>
    <row r="263">
      <c r="B263" s="5"/>
      <c r="C263" s="10"/>
    </row>
    <row r="264">
      <c r="B264" s="5"/>
      <c r="C264" s="10"/>
    </row>
    <row r="265">
      <c r="B265" s="5"/>
      <c r="C265" s="10"/>
    </row>
    <row r="266">
      <c r="B266" s="5"/>
      <c r="C266" s="10"/>
    </row>
    <row r="267">
      <c r="B267" s="5"/>
      <c r="C267" s="10"/>
    </row>
    <row r="268">
      <c r="B268" s="5"/>
      <c r="C268" s="10"/>
    </row>
    <row r="269">
      <c r="B269" s="5"/>
      <c r="C269" s="10"/>
    </row>
    <row r="270">
      <c r="B270" s="5"/>
      <c r="C270" s="10"/>
    </row>
    <row r="271">
      <c r="B271" s="5"/>
      <c r="C271" s="10"/>
    </row>
    <row r="272">
      <c r="B272" s="5"/>
      <c r="C272" s="10"/>
    </row>
    <row r="273">
      <c r="B273" s="5"/>
      <c r="C273" s="10"/>
    </row>
    <row r="274">
      <c r="B274" s="5"/>
      <c r="C274" s="10"/>
    </row>
    <row r="275">
      <c r="B275" s="5"/>
      <c r="C275" s="10"/>
    </row>
    <row r="276">
      <c r="B276" s="5"/>
      <c r="C276" s="10"/>
    </row>
    <row r="277">
      <c r="B277" s="5"/>
      <c r="C277" s="10"/>
    </row>
    <row r="278">
      <c r="B278" s="5"/>
      <c r="C278" s="10"/>
    </row>
    <row r="279">
      <c r="B279" s="5"/>
      <c r="C279" s="10"/>
    </row>
    <row r="280">
      <c r="B280" s="5"/>
      <c r="C280" s="10"/>
    </row>
    <row r="281">
      <c r="B281" s="5"/>
      <c r="C281" s="10"/>
    </row>
    <row r="282">
      <c r="B282" s="5"/>
      <c r="C282" s="10"/>
    </row>
    <row r="283">
      <c r="B283" s="5"/>
      <c r="C283" s="10"/>
    </row>
    <row r="284">
      <c r="B284" s="5"/>
      <c r="C284" s="10"/>
    </row>
    <row r="285">
      <c r="B285" s="5"/>
      <c r="C285" s="10"/>
    </row>
    <row r="286">
      <c r="B286" s="5"/>
      <c r="C286" s="10"/>
    </row>
    <row r="287">
      <c r="B287" s="5"/>
      <c r="C287" s="10"/>
    </row>
    <row r="288">
      <c r="B288" s="5"/>
      <c r="C288" s="10"/>
    </row>
    <row r="289">
      <c r="B289" s="5"/>
      <c r="C289" s="10"/>
    </row>
    <row r="290">
      <c r="B290" s="5"/>
      <c r="C290" s="10"/>
    </row>
    <row r="291">
      <c r="B291" s="5"/>
      <c r="C291" s="10"/>
    </row>
    <row r="292">
      <c r="B292" s="5"/>
      <c r="C292" s="10"/>
    </row>
    <row r="293">
      <c r="B293" s="5"/>
      <c r="C293" s="10"/>
    </row>
    <row r="294">
      <c r="B294" s="5"/>
      <c r="C294" s="10"/>
    </row>
    <row r="295">
      <c r="B295" s="5"/>
      <c r="C295" s="10"/>
    </row>
    <row r="296">
      <c r="B296" s="5"/>
      <c r="C296" s="10"/>
    </row>
    <row r="297">
      <c r="B297" s="5"/>
      <c r="C297" s="10"/>
    </row>
    <row r="298">
      <c r="B298" s="5"/>
      <c r="C298" s="10"/>
    </row>
    <row r="299">
      <c r="B299" s="5"/>
      <c r="C299" s="10"/>
    </row>
    <row r="300">
      <c r="B300" s="5"/>
      <c r="C300" s="10"/>
    </row>
    <row r="301">
      <c r="B301" s="5"/>
      <c r="C301" s="10"/>
    </row>
    <row r="302">
      <c r="B302" s="5"/>
      <c r="C302" s="10"/>
    </row>
    <row r="303">
      <c r="B303" s="5"/>
      <c r="C303" s="10"/>
    </row>
    <row r="304">
      <c r="B304" s="5"/>
      <c r="C304" s="10"/>
    </row>
    <row r="305">
      <c r="B305" s="5"/>
      <c r="C305" s="10"/>
    </row>
    <row r="306">
      <c r="B306" s="5"/>
      <c r="C306" s="10"/>
    </row>
    <row r="307">
      <c r="B307" s="5"/>
      <c r="C307" s="10"/>
    </row>
    <row r="308">
      <c r="B308" s="5"/>
      <c r="C308" s="10"/>
    </row>
    <row r="309">
      <c r="B309" s="5"/>
      <c r="C309" s="10"/>
    </row>
    <row r="310">
      <c r="B310" s="5"/>
      <c r="C310" s="10"/>
    </row>
    <row r="311">
      <c r="B311" s="5"/>
      <c r="C311" s="10"/>
    </row>
    <row r="312">
      <c r="B312" s="5"/>
      <c r="C312" s="10"/>
    </row>
    <row r="313">
      <c r="B313" s="5"/>
      <c r="C313" s="10"/>
    </row>
    <row r="314">
      <c r="B314" s="5"/>
      <c r="C314" s="10"/>
    </row>
    <row r="315">
      <c r="B315" s="5"/>
      <c r="C315" s="10"/>
    </row>
    <row r="316">
      <c r="B316" s="5"/>
      <c r="C316" s="10"/>
    </row>
    <row r="317">
      <c r="B317" s="5"/>
      <c r="C317" s="10"/>
    </row>
    <row r="318">
      <c r="B318" s="5"/>
      <c r="C318" s="10"/>
    </row>
    <row r="319">
      <c r="B319" s="5"/>
      <c r="C319" s="10"/>
    </row>
    <row r="320">
      <c r="B320" s="5"/>
      <c r="C320" s="10"/>
    </row>
    <row r="321">
      <c r="B321" s="5"/>
      <c r="C321" s="10"/>
    </row>
    <row r="322">
      <c r="B322" s="5"/>
      <c r="C322" s="10"/>
    </row>
    <row r="323">
      <c r="B323" s="5"/>
      <c r="C323" s="10"/>
    </row>
    <row r="324">
      <c r="B324" s="5"/>
      <c r="C324" s="10"/>
    </row>
    <row r="325">
      <c r="B325" s="5"/>
      <c r="C325" s="10"/>
    </row>
    <row r="326">
      <c r="B326" s="5"/>
      <c r="C326" s="10"/>
    </row>
    <row r="327">
      <c r="B327" s="5"/>
      <c r="C327" s="10"/>
    </row>
    <row r="328">
      <c r="B328" s="5"/>
      <c r="C328" s="10"/>
    </row>
    <row r="329">
      <c r="B329" s="5"/>
      <c r="C329" s="10"/>
    </row>
    <row r="330">
      <c r="B330" s="5"/>
      <c r="C330" s="10"/>
    </row>
    <row r="331">
      <c r="B331" s="5"/>
      <c r="C331" s="10"/>
    </row>
    <row r="332">
      <c r="B332" s="5"/>
      <c r="C332" s="10"/>
    </row>
    <row r="333">
      <c r="B333" s="5"/>
      <c r="C333" s="10"/>
    </row>
    <row r="334">
      <c r="B334" s="5"/>
      <c r="C334" s="10"/>
    </row>
    <row r="335">
      <c r="B335" s="5"/>
      <c r="C335" s="10"/>
    </row>
    <row r="336">
      <c r="B336" s="5"/>
      <c r="C336" s="10"/>
    </row>
    <row r="337">
      <c r="B337" s="5"/>
      <c r="C337" s="10"/>
    </row>
    <row r="338">
      <c r="B338" s="5"/>
      <c r="C338" s="10"/>
    </row>
    <row r="339">
      <c r="B339" s="5"/>
      <c r="C339" s="10"/>
    </row>
    <row r="340">
      <c r="B340" s="5"/>
      <c r="C340" s="10"/>
    </row>
    <row r="341">
      <c r="B341" s="5"/>
      <c r="C341" s="10"/>
    </row>
    <row r="342">
      <c r="B342" s="5"/>
      <c r="C342" s="10"/>
    </row>
    <row r="343">
      <c r="B343" s="5"/>
      <c r="C343" s="10"/>
    </row>
    <row r="344">
      <c r="B344" s="5"/>
      <c r="C344" s="10"/>
    </row>
    <row r="345">
      <c r="B345" s="5"/>
      <c r="C345" s="10"/>
    </row>
    <row r="346">
      <c r="B346" s="5"/>
      <c r="C346" s="10"/>
    </row>
    <row r="347">
      <c r="B347" s="5"/>
      <c r="C347" s="10"/>
    </row>
    <row r="348">
      <c r="B348" s="5"/>
      <c r="C348" s="10"/>
    </row>
    <row r="349">
      <c r="B349" s="5"/>
      <c r="C349" s="10"/>
    </row>
    <row r="350">
      <c r="B350" s="5"/>
      <c r="C350" s="10"/>
    </row>
    <row r="351">
      <c r="B351" s="5"/>
      <c r="C351" s="10"/>
    </row>
    <row r="352">
      <c r="B352" s="5"/>
      <c r="C352" s="10"/>
    </row>
    <row r="353">
      <c r="B353" s="5"/>
      <c r="C353" s="10"/>
    </row>
    <row r="354">
      <c r="B354" s="5"/>
      <c r="C354" s="10"/>
    </row>
    <row r="355">
      <c r="B355" s="5"/>
      <c r="C355" s="10"/>
    </row>
    <row r="356">
      <c r="B356" s="5"/>
      <c r="C356" s="10"/>
    </row>
    <row r="357">
      <c r="B357" s="5"/>
      <c r="C357" s="10"/>
    </row>
    <row r="358">
      <c r="B358" s="5"/>
      <c r="C358" s="10"/>
    </row>
    <row r="359">
      <c r="B359" s="5"/>
      <c r="C359" s="10"/>
    </row>
    <row r="360">
      <c r="B360" s="5"/>
      <c r="C360" s="10"/>
    </row>
    <row r="361">
      <c r="B361" s="5"/>
      <c r="C361" s="10"/>
    </row>
    <row r="362">
      <c r="B362" s="5"/>
      <c r="C362" s="10"/>
    </row>
    <row r="363">
      <c r="B363" s="5"/>
      <c r="C363" s="10"/>
    </row>
    <row r="364">
      <c r="B364" s="5"/>
      <c r="C364" s="10"/>
    </row>
    <row r="365">
      <c r="B365" s="5"/>
      <c r="C365" s="10"/>
    </row>
    <row r="366">
      <c r="B366" s="5"/>
      <c r="C366" s="10"/>
    </row>
    <row r="367">
      <c r="B367" s="5"/>
      <c r="C367" s="10"/>
    </row>
    <row r="368">
      <c r="B368" s="5"/>
      <c r="C368" s="10"/>
    </row>
    <row r="369">
      <c r="B369" s="5"/>
      <c r="C369" s="10"/>
    </row>
    <row r="370">
      <c r="B370" s="5"/>
      <c r="C370" s="10"/>
    </row>
    <row r="371">
      <c r="B371" s="5"/>
      <c r="C371" s="10"/>
    </row>
    <row r="372">
      <c r="B372" s="5"/>
      <c r="C372" s="10"/>
    </row>
    <row r="373">
      <c r="B373" s="5"/>
      <c r="C373" s="10"/>
    </row>
    <row r="374">
      <c r="B374" s="5"/>
      <c r="C374" s="10"/>
    </row>
    <row r="375">
      <c r="B375" s="5"/>
      <c r="C375" s="10"/>
    </row>
    <row r="376">
      <c r="B376" s="5"/>
      <c r="C376" s="10"/>
    </row>
    <row r="377">
      <c r="B377" s="5"/>
      <c r="C377" s="10"/>
    </row>
    <row r="378">
      <c r="B378" s="5"/>
      <c r="C378" s="10"/>
    </row>
    <row r="379">
      <c r="B379" s="5"/>
      <c r="C379" s="10"/>
    </row>
    <row r="380">
      <c r="B380" s="5"/>
      <c r="C380" s="10"/>
    </row>
    <row r="381">
      <c r="B381" s="5"/>
      <c r="C381" s="10"/>
    </row>
    <row r="382">
      <c r="B382" s="5"/>
      <c r="C382" s="10"/>
    </row>
    <row r="383">
      <c r="B383" s="5"/>
      <c r="C383" s="10"/>
    </row>
    <row r="384">
      <c r="B384" s="5"/>
      <c r="C384" s="10"/>
    </row>
    <row r="385">
      <c r="B385" s="5"/>
      <c r="C385" s="10"/>
    </row>
    <row r="386">
      <c r="B386" s="5"/>
      <c r="C386" s="10"/>
    </row>
    <row r="387">
      <c r="B387" s="5"/>
      <c r="C387" s="10"/>
    </row>
    <row r="388">
      <c r="B388" s="5"/>
      <c r="C388" s="10"/>
    </row>
    <row r="389">
      <c r="B389" s="5"/>
      <c r="C389" s="10"/>
    </row>
    <row r="390">
      <c r="B390" s="5"/>
      <c r="C390" s="10"/>
    </row>
    <row r="391">
      <c r="B391" s="5"/>
      <c r="C391" s="10"/>
    </row>
    <row r="392">
      <c r="B392" s="5"/>
      <c r="C392" s="10"/>
    </row>
    <row r="393">
      <c r="B393" s="5"/>
      <c r="C393" s="10"/>
    </row>
    <row r="394">
      <c r="B394" s="5"/>
      <c r="C394" s="10"/>
    </row>
    <row r="395">
      <c r="B395" s="5"/>
      <c r="C395" s="10"/>
    </row>
    <row r="396">
      <c r="B396" s="5"/>
      <c r="C396" s="10"/>
    </row>
    <row r="397">
      <c r="B397" s="5"/>
      <c r="C397" s="10"/>
    </row>
    <row r="398">
      <c r="B398" s="5"/>
      <c r="C398" s="10"/>
    </row>
    <row r="399">
      <c r="B399" s="5"/>
      <c r="C399" s="10"/>
    </row>
    <row r="400">
      <c r="B400" s="5"/>
      <c r="C400" s="10"/>
    </row>
    <row r="401">
      <c r="B401" s="5"/>
      <c r="C401" s="10"/>
    </row>
    <row r="402">
      <c r="B402" s="5"/>
      <c r="C402" s="10"/>
    </row>
    <row r="403">
      <c r="B403" s="5"/>
      <c r="C403" s="10"/>
    </row>
    <row r="404">
      <c r="B404" s="5"/>
      <c r="C404" s="10"/>
    </row>
    <row r="405">
      <c r="B405" s="5"/>
      <c r="C405" s="10"/>
    </row>
    <row r="406">
      <c r="B406" s="5"/>
      <c r="C406" s="10"/>
    </row>
    <row r="407">
      <c r="B407" s="5"/>
      <c r="C407" s="10"/>
    </row>
    <row r="408">
      <c r="B408" s="5"/>
      <c r="C408" s="10"/>
    </row>
    <row r="409">
      <c r="B409" s="5"/>
      <c r="C409" s="10"/>
    </row>
    <row r="410">
      <c r="B410" s="5"/>
      <c r="C410" s="10"/>
    </row>
    <row r="411">
      <c r="B411" s="5"/>
      <c r="C411" s="10"/>
    </row>
    <row r="412">
      <c r="B412" s="5"/>
      <c r="C412" s="10"/>
    </row>
    <row r="413">
      <c r="B413" s="5"/>
      <c r="C413" s="10"/>
    </row>
    <row r="414">
      <c r="B414" s="5"/>
      <c r="C414" s="10"/>
    </row>
    <row r="415">
      <c r="B415" s="5"/>
      <c r="C415" s="10"/>
    </row>
    <row r="416">
      <c r="B416" s="5"/>
      <c r="C416" s="10"/>
    </row>
    <row r="417">
      <c r="B417" s="5"/>
      <c r="C417" s="10"/>
    </row>
    <row r="418">
      <c r="B418" s="5"/>
      <c r="C418" s="10"/>
    </row>
    <row r="419">
      <c r="B419" s="5"/>
      <c r="C419" s="10"/>
    </row>
    <row r="420">
      <c r="B420" s="5"/>
      <c r="C420" s="10"/>
    </row>
    <row r="421">
      <c r="B421" s="5"/>
      <c r="C421" s="10"/>
    </row>
    <row r="422">
      <c r="B422" s="5"/>
      <c r="C422" s="10"/>
    </row>
    <row r="423">
      <c r="B423" s="5"/>
      <c r="C423" s="10"/>
    </row>
    <row r="424">
      <c r="B424" s="5"/>
      <c r="C424" s="10"/>
    </row>
    <row r="425">
      <c r="B425" s="5"/>
      <c r="C425" s="10"/>
    </row>
    <row r="426">
      <c r="B426" s="5"/>
      <c r="C426" s="10"/>
    </row>
    <row r="427">
      <c r="B427" s="5"/>
      <c r="C427" s="10"/>
    </row>
    <row r="428">
      <c r="B428" s="5"/>
      <c r="C428" s="10"/>
    </row>
    <row r="429">
      <c r="B429" s="5"/>
      <c r="C429" s="10"/>
    </row>
    <row r="430">
      <c r="B430" s="5"/>
      <c r="C430" s="10"/>
    </row>
    <row r="431">
      <c r="B431" s="5"/>
      <c r="C431" s="10"/>
    </row>
    <row r="432">
      <c r="B432" s="5"/>
      <c r="C432" s="10"/>
    </row>
    <row r="433">
      <c r="B433" s="5"/>
      <c r="C433" s="10"/>
    </row>
    <row r="434">
      <c r="B434" s="5"/>
      <c r="C434" s="10"/>
    </row>
    <row r="435">
      <c r="B435" s="5"/>
      <c r="C435" s="10"/>
    </row>
    <row r="436">
      <c r="B436" s="5"/>
      <c r="C436" s="10"/>
    </row>
    <row r="437">
      <c r="B437" s="5"/>
      <c r="C437" s="10"/>
    </row>
    <row r="438">
      <c r="B438" s="5"/>
      <c r="C438" s="10"/>
    </row>
    <row r="439">
      <c r="B439" s="5"/>
      <c r="C439" s="10"/>
    </row>
    <row r="440">
      <c r="B440" s="5"/>
      <c r="C440" s="10"/>
    </row>
    <row r="441">
      <c r="B441" s="5"/>
      <c r="C441" s="10"/>
    </row>
    <row r="442">
      <c r="B442" s="5"/>
      <c r="C442" s="10"/>
    </row>
    <row r="443">
      <c r="B443" s="5"/>
      <c r="C443" s="10"/>
    </row>
    <row r="444">
      <c r="B444" s="5"/>
      <c r="C444" s="10"/>
    </row>
    <row r="445">
      <c r="B445" s="5"/>
      <c r="C445" s="10"/>
    </row>
    <row r="446">
      <c r="B446" s="5"/>
      <c r="C446" s="10"/>
    </row>
    <row r="447">
      <c r="B447" s="5"/>
      <c r="C447" s="10"/>
    </row>
    <row r="448">
      <c r="B448" s="5"/>
      <c r="C448" s="10"/>
    </row>
    <row r="449">
      <c r="B449" s="5"/>
      <c r="C449" s="10"/>
    </row>
    <row r="450">
      <c r="B450" s="5"/>
      <c r="C450" s="10"/>
    </row>
    <row r="451">
      <c r="B451" s="5"/>
      <c r="C451" s="10"/>
    </row>
    <row r="452">
      <c r="B452" s="5"/>
      <c r="C452" s="10"/>
    </row>
    <row r="453">
      <c r="B453" s="5"/>
      <c r="C453" s="10"/>
    </row>
    <row r="454">
      <c r="B454" s="5"/>
      <c r="C454" s="10"/>
    </row>
    <row r="455">
      <c r="B455" s="5"/>
      <c r="C455" s="10"/>
    </row>
    <row r="456">
      <c r="B456" s="5"/>
      <c r="C456" s="10"/>
    </row>
    <row r="457">
      <c r="B457" s="5"/>
      <c r="C457" s="10"/>
    </row>
    <row r="458">
      <c r="B458" s="5"/>
      <c r="C458" s="10"/>
    </row>
    <row r="459">
      <c r="B459" s="5"/>
      <c r="C459" s="10"/>
    </row>
    <row r="460">
      <c r="B460" s="5"/>
      <c r="C460" s="10"/>
    </row>
    <row r="461">
      <c r="B461" s="5"/>
      <c r="C461" s="10"/>
    </row>
    <row r="462">
      <c r="B462" s="5"/>
      <c r="C462" s="10"/>
    </row>
    <row r="463">
      <c r="B463" s="5"/>
      <c r="C463" s="10"/>
    </row>
    <row r="464">
      <c r="B464" s="5"/>
      <c r="C464" s="10"/>
    </row>
    <row r="465">
      <c r="B465" s="5"/>
      <c r="C465" s="10"/>
    </row>
    <row r="466">
      <c r="B466" s="5"/>
      <c r="C466" s="10"/>
    </row>
    <row r="467">
      <c r="B467" s="5"/>
      <c r="C467" s="10"/>
    </row>
    <row r="468">
      <c r="B468" s="5"/>
      <c r="C468" s="10"/>
    </row>
    <row r="469">
      <c r="B469" s="5"/>
      <c r="C469" s="10"/>
    </row>
    <row r="470">
      <c r="B470" s="5"/>
      <c r="C470" s="10"/>
    </row>
    <row r="471">
      <c r="B471" s="5"/>
      <c r="C471" s="10"/>
    </row>
    <row r="472">
      <c r="B472" s="5"/>
      <c r="C472" s="10"/>
    </row>
    <row r="473">
      <c r="B473" s="5"/>
      <c r="C473" s="10"/>
    </row>
    <row r="474">
      <c r="B474" s="5"/>
      <c r="C474" s="10"/>
    </row>
    <row r="475">
      <c r="B475" s="5"/>
      <c r="C475" s="10"/>
    </row>
    <row r="476">
      <c r="B476" s="5"/>
      <c r="C476" s="10"/>
    </row>
    <row r="477">
      <c r="B477" s="5"/>
      <c r="C477" s="10"/>
    </row>
    <row r="478">
      <c r="B478" s="5"/>
      <c r="C478" s="10"/>
    </row>
    <row r="479">
      <c r="B479" s="5"/>
      <c r="C479" s="10"/>
    </row>
    <row r="480">
      <c r="B480" s="5"/>
      <c r="C480" s="10"/>
    </row>
    <row r="481">
      <c r="B481" s="5"/>
      <c r="C481" s="10"/>
    </row>
    <row r="482">
      <c r="B482" s="5"/>
      <c r="C482" s="10"/>
    </row>
    <row r="483">
      <c r="B483" s="5"/>
      <c r="C483" s="10"/>
    </row>
    <row r="484">
      <c r="B484" s="5"/>
      <c r="C484" s="10"/>
    </row>
    <row r="485">
      <c r="B485" s="5"/>
      <c r="C485" s="10"/>
    </row>
    <row r="486">
      <c r="B486" s="5"/>
      <c r="C486" s="10"/>
    </row>
    <row r="487">
      <c r="B487" s="5"/>
      <c r="C487" s="10"/>
    </row>
    <row r="488">
      <c r="B488" s="5"/>
      <c r="C488" s="10"/>
    </row>
    <row r="489">
      <c r="B489" s="5"/>
      <c r="C489" s="10"/>
    </row>
    <row r="490">
      <c r="B490" s="5"/>
      <c r="C490" s="10"/>
    </row>
    <row r="491">
      <c r="B491" s="5"/>
      <c r="C491" s="10"/>
    </row>
    <row r="492">
      <c r="B492" s="5"/>
      <c r="C492" s="10"/>
    </row>
    <row r="493">
      <c r="B493" s="5"/>
      <c r="C493" s="10"/>
    </row>
    <row r="494">
      <c r="B494" s="5"/>
      <c r="C494" s="10"/>
    </row>
    <row r="495">
      <c r="B495" s="5"/>
      <c r="C495" s="10"/>
    </row>
    <row r="496">
      <c r="B496" s="5"/>
      <c r="C496" s="10"/>
    </row>
    <row r="497">
      <c r="B497" s="5"/>
      <c r="C497" s="10"/>
    </row>
    <row r="498">
      <c r="B498" s="5"/>
      <c r="C498" s="10"/>
    </row>
    <row r="499">
      <c r="B499" s="5"/>
      <c r="C499" s="10"/>
    </row>
    <row r="500">
      <c r="B500" s="5"/>
      <c r="C500" s="10"/>
    </row>
    <row r="501">
      <c r="B501" s="5"/>
      <c r="C501" s="10"/>
    </row>
    <row r="502">
      <c r="B502" s="5"/>
      <c r="C502" s="10"/>
    </row>
    <row r="503">
      <c r="B503" s="5"/>
      <c r="C503" s="10"/>
    </row>
    <row r="504">
      <c r="B504" s="5"/>
      <c r="C504" s="10"/>
    </row>
    <row r="505">
      <c r="B505" s="5"/>
      <c r="C505" s="10"/>
    </row>
    <row r="506">
      <c r="B506" s="5"/>
      <c r="C506" s="10"/>
    </row>
    <row r="507">
      <c r="B507" s="5"/>
      <c r="C507" s="10"/>
    </row>
    <row r="508">
      <c r="B508" s="5"/>
      <c r="C508" s="10"/>
    </row>
    <row r="509">
      <c r="B509" s="5"/>
      <c r="C509" s="10"/>
    </row>
    <row r="510">
      <c r="B510" s="5"/>
      <c r="C510" s="10"/>
    </row>
    <row r="511">
      <c r="B511" s="5"/>
      <c r="C511" s="10"/>
    </row>
    <row r="512">
      <c r="B512" s="5"/>
      <c r="C512" s="10"/>
    </row>
    <row r="513">
      <c r="B513" s="5"/>
      <c r="C513" s="10"/>
    </row>
    <row r="514">
      <c r="B514" s="5"/>
      <c r="C514" s="10"/>
    </row>
    <row r="515">
      <c r="B515" s="5"/>
      <c r="C515" s="10"/>
    </row>
    <row r="516">
      <c r="B516" s="5"/>
      <c r="C516" s="10"/>
    </row>
    <row r="517">
      <c r="B517" s="5"/>
      <c r="C517" s="10"/>
    </row>
    <row r="518">
      <c r="B518" s="5"/>
      <c r="C518" s="10"/>
    </row>
    <row r="519">
      <c r="B519" s="5"/>
      <c r="C519" s="10"/>
    </row>
    <row r="520">
      <c r="B520" s="5"/>
      <c r="C520" s="10"/>
    </row>
    <row r="521">
      <c r="B521" s="5"/>
      <c r="C521" s="10"/>
    </row>
    <row r="522">
      <c r="B522" s="5"/>
      <c r="C522" s="10"/>
    </row>
    <row r="523">
      <c r="B523" s="5"/>
      <c r="C523" s="10"/>
    </row>
    <row r="524">
      <c r="B524" s="5"/>
      <c r="C524" s="10"/>
    </row>
    <row r="525">
      <c r="B525" s="5"/>
      <c r="C525" s="10"/>
    </row>
    <row r="526">
      <c r="B526" s="5"/>
      <c r="C526" s="10"/>
    </row>
    <row r="527">
      <c r="B527" s="5"/>
      <c r="C527" s="10"/>
    </row>
    <row r="528">
      <c r="B528" s="5"/>
      <c r="C528" s="10"/>
    </row>
    <row r="529">
      <c r="B529" s="5"/>
      <c r="C529" s="10"/>
    </row>
    <row r="530">
      <c r="B530" s="5"/>
      <c r="C530" s="10"/>
    </row>
    <row r="531">
      <c r="B531" s="5"/>
      <c r="C531" s="10"/>
    </row>
    <row r="532">
      <c r="B532" s="5"/>
      <c r="C532" s="10"/>
    </row>
    <row r="533">
      <c r="B533" s="5"/>
      <c r="C533" s="10"/>
    </row>
    <row r="534">
      <c r="B534" s="5"/>
      <c r="C534" s="10"/>
    </row>
    <row r="535">
      <c r="B535" s="5"/>
      <c r="C535" s="10"/>
    </row>
    <row r="536">
      <c r="B536" s="5"/>
      <c r="C536" s="10"/>
    </row>
    <row r="537">
      <c r="B537" s="5"/>
      <c r="C537" s="10"/>
    </row>
    <row r="538">
      <c r="B538" s="5"/>
      <c r="C538" s="10"/>
    </row>
    <row r="539">
      <c r="B539" s="5"/>
      <c r="C539" s="10"/>
    </row>
    <row r="540">
      <c r="B540" s="5"/>
      <c r="C540" s="10"/>
    </row>
    <row r="541">
      <c r="B541" s="5"/>
      <c r="C541" s="10"/>
    </row>
    <row r="542">
      <c r="B542" s="5"/>
      <c r="C542" s="10"/>
    </row>
    <row r="543">
      <c r="B543" s="5"/>
      <c r="C543" s="10"/>
    </row>
    <row r="544">
      <c r="B544" s="5"/>
      <c r="C544" s="10"/>
    </row>
    <row r="545">
      <c r="B545" s="5"/>
      <c r="C545" s="10"/>
    </row>
    <row r="546">
      <c r="B546" s="5"/>
      <c r="C546" s="10"/>
    </row>
    <row r="547">
      <c r="B547" s="5"/>
      <c r="C547" s="10"/>
    </row>
    <row r="548">
      <c r="B548" s="5"/>
      <c r="C548" s="10"/>
    </row>
    <row r="549">
      <c r="B549" s="5"/>
      <c r="C549" s="10"/>
    </row>
    <row r="550">
      <c r="B550" s="5"/>
      <c r="C550" s="10"/>
    </row>
    <row r="551">
      <c r="B551" s="5"/>
      <c r="C551" s="10"/>
    </row>
    <row r="552">
      <c r="B552" s="5"/>
      <c r="C552" s="10"/>
    </row>
    <row r="553">
      <c r="B553" s="5"/>
      <c r="C553" s="10"/>
    </row>
    <row r="554">
      <c r="B554" s="5"/>
      <c r="C554" s="10"/>
    </row>
    <row r="555">
      <c r="B555" s="5"/>
      <c r="C555" s="10"/>
    </row>
    <row r="556">
      <c r="B556" s="5"/>
      <c r="C556" s="10"/>
    </row>
    <row r="557">
      <c r="B557" s="5"/>
      <c r="C557" s="10"/>
    </row>
    <row r="558">
      <c r="B558" s="5"/>
      <c r="C558" s="10"/>
    </row>
    <row r="559">
      <c r="B559" s="5"/>
      <c r="C559" s="10"/>
    </row>
    <row r="560">
      <c r="B560" s="5"/>
      <c r="C560" s="10"/>
    </row>
    <row r="561">
      <c r="B561" s="5"/>
      <c r="C561" s="10"/>
    </row>
    <row r="562">
      <c r="B562" s="5"/>
      <c r="C562" s="10"/>
    </row>
    <row r="563">
      <c r="B563" s="5"/>
      <c r="C563" s="10"/>
    </row>
    <row r="564">
      <c r="B564" s="5"/>
      <c r="C564" s="10"/>
    </row>
    <row r="565">
      <c r="B565" s="5"/>
      <c r="C565" s="10"/>
    </row>
    <row r="566">
      <c r="B566" s="5"/>
      <c r="C566" s="10"/>
    </row>
    <row r="567">
      <c r="B567" s="5"/>
      <c r="C567" s="10"/>
    </row>
    <row r="568">
      <c r="B568" s="5"/>
      <c r="C568" s="10"/>
    </row>
    <row r="569">
      <c r="B569" s="5"/>
      <c r="C569" s="10"/>
    </row>
    <row r="570">
      <c r="B570" s="5"/>
      <c r="C570" s="10"/>
    </row>
    <row r="571">
      <c r="B571" s="5"/>
      <c r="C571" s="10"/>
    </row>
    <row r="572">
      <c r="B572" s="5"/>
      <c r="C572" s="10"/>
    </row>
    <row r="573">
      <c r="B573" s="5"/>
      <c r="C573" s="10"/>
    </row>
    <row r="574">
      <c r="B574" s="5"/>
      <c r="C574" s="10"/>
    </row>
    <row r="575">
      <c r="B575" s="5"/>
      <c r="C575" s="10"/>
    </row>
    <row r="576">
      <c r="B576" s="5"/>
      <c r="C576" s="10"/>
    </row>
    <row r="577">
      <c r="B577" s="5"/>
      <c r="C577" s="10"/>
    </row>
    <row r="578">
      <c r="B578" s="5"/>
      <c r="C578" s="10"/>
    </row>
    <row r="579">
      <c r="B579" s="5"/>
      <c r="C579" s="10"/>
    </row>
    <row r="580">
      <c r="B580" s="5"/>
      <c r="C580" s="10"/>
    </row>
    <row r="581">
      <c r="B581" s="5"/>
      <c r="C581" s="10"/>
    </row>
    <row r="582">
      <c r="B582" s="5"/>
      <c r="C582" s="10"/>
    </row>
    <row r="583">
      <c r="B583" s="5"/>
      <c r="C583" s="10"/>
    </row>
    <row r="584">
      <c r="B584" s="5"/>
      <c r="C584" s="10"/>
    </row>
    <row r="585">
      <c r="B585" s="5"/>
      <c r="C585" s="10"/>
    </row>
    <row r="586">
      <c r="B586" s="5"/>
      <c r="C586" s="10"/>
    </row>
    <row r="587">
      <c r="B587" s="5"/>
      <c r="C587" s="10"/>
    </row>
    <row r="588">
      <c r="B588" s="5"/>
      <c r="C588" s="10"/>
    </row>
    <row r="589">
      <c r="B589" s="5"/>
      <c r="C589" s="10"/>
    </row>
    <row r="590">
      <c r="B590" s="5"/>
      <c r="C590" s="10"/>
    </row>
    <row r="591">
      <c r="B591" s="5"/>
      <c r="C591" s="10"/>
    </row>
    <row r="592">
      <c r="B592" s="5"/>
      <c r="C592" s="10"/>
    </row>
    <row r="593">
      <c r="B593" s="5"/>
      <c r="C593" s="10"/>
    </row>
    <row r="594">
      <c r="B594" s="5"/>
      <c r="C594" s="10"/>
    </row>
    <row r="595">
      <c r="B595" s="5"/>
      <c r="C595" s="10"/>
    </row>
    <row r="596">
      <c r="B596" s="5"/>
      <c r="C596" s="10"/>
    </row>
    <row r="597">
      <c r="B597" s="5"/>
      <c r="C597" s="10"/>
    </row>
    <row r="598">
      <c r="B598" s="5"/>
      <c r="C598" s="10"/>
    </row>
    <row r="599">
      <c r="B599" s="5"/>
      <c r="C599" s="10"/>
    </row>
    <row r="600">
      <c r="B600" s="5"/>
      <c r="C600" s="10"/>
    </row>
    <row r="601">
      <c r="B601" s="5"/>
      <c r="C601" s="10"/>
    </row>
    <row r="602">
      <c r="B602" s="5"/>
      <c r="C602" s="10"/>
    </row>
    <row r="603">
      <c r="B603" s="5"/>
      <c r="C603" s="10"/>
    </row>
    <row r="604">
      <c r="B604" s="5"/>
      <c r="C604" s="10"/>
    </row>
    <row r="605">
      <c r="B605" s="5"/>
      <c r="C605" s="10"/>
    </row>
    <row r="606">
      <c r="B606" s="5"/>
      <c r="C606" s="10"/>
    </row>
    <row r="607">
      <c r="B607" s="5"/>
      <c r="C607" s="10"/>
    </row>
    <row r="608">
      <c r="B608" s="5"/>
      <c r="C608" s="10"/>
    </row>
    <row r="609">
      <c r="B609" s="5"/>
      <c r="C609" s="10"/>
    </row>
    <row r="610">
      <c r="B610" s="5"/>
      <c r="C610" s="10"/>
    </row>
    <row r="611">
      <c r="B611" s="5"/>
      <c r="C611" s="10"/>
    </row>
    <row r="612">
      <c r="B612" s="5"/>
      <c r="C612" s="10"/>
    </row>
    <row r="613">
      <c r="B613" s="5"/>
      <c r="C613" s="10"/>
    </row>
    <row r="614">
      <c r="B614" s="5"/>
      <c r="C614" s="10"/>
    </row>
    <row r="615">
      <c r="B615" s="5"/>
      <c r="C615" s="10"/>
    </row>
    <row r="616">
      <c r="B616" s="5"/>
      <c r="C616" s="10"/>
    </row>
    <row r="617">
      <c r="B617" s="5"/>
      <c r="C617" s="10"/>
    </row>
    <row r="618">
      <c r="B618" s="5"/>
      <c r="C618" s="10"/>
    </row>
    <row r="619">
      <c r="B619" s="5"/>
      <c r="C619" s="10"/>
    </row>
    <row r="620">
      <c r="B620" s="5"/>
      <c r="C620" s="10"/>
    </row>
    <row r="621">
      <c r="B621" s="5"/>
      <c r="C621" s="10"/>
    </row>
    <row r="622">
      <c r="B622" s="5"/>
      <c r="C622" s="10"/>
    </row>
    <row r="623">
      <c r="B623" s="5"/>
      <c r="C623" s="10"/>
    </row>
    <row r="624">
      <c r="B624" s="5"/>
      <c r="C624" s="10"/>
    </row>
    <row r="625">
      <c r="B625" s="5"/>
      <c r="C625" s="10"/>
    </row>
    <row r="626">
      <c r="B626" s="5"/>
      <c r="C626" s="10"/>
    </row>
    <row r="627">
      <c r="B627" s="5"/>
      <c r="C627" s="10"/>
    </row>
    <row r="628">
      <c r="B628" s="5"/>
      <c r="C628" s="10"/>
    </row>
    <row r="629">
      <c r="B629" s="5"/>
      <c r="C629" s="10"/>
    </row>
    <row r="630">
      <c r="B630" s="5"/>
      <c r="C630" s="10"/>
    </row>
    <row r="631">
      <c r="B631" s="5"/>
      <c r="C631" s="10"/>
    </row>
    <row r="632">
      <c r="B632" s="5"/>
      <c r="C632" s="10"/>
    </row>
    <row r="633">
      <c r="B633" s="5"/>
      <c r="C633" s="10"/>
    </row>
    <row r="634">
      <c r="B634" s="5"/>
      <c r="C634" s="10"/>
    </row>
    <row r="635">
      <c r="B635" s="5"/>
      <c r="C635" s="10"/>
    </row>
    <row r="636">
      <c r="B636" s="5"/>
      <c r="C636" s="10"/>
    </row>
    <row r="637">
      <c r="B637" s="5"/>
      <c r="C637" s="10"/>
    </row>
    <row r="638">
      <c r="B638" s="5"/>
      <c r="C638" s="10"/>
    </row>
    <row r="639">
      <c r="B639" s="5"/>
      <c r="C639" s="10"/>
    </row>
    <row r="640">
      <c r="B640" s="5"/>
      <c r="C640" s="10"/>
    </row>
    <row r="641">
      <c r="B641" s="5"/>
      <c r="C641" s="10"/>
    </row>
    <row r="642">
      <c r="B642" s="5"/>
      <c r="C642" s="10"/>
    </row>
    <row r="643">
      <c r="B643" s="5"/>
      <c r="C643" s="10"/>
    </row>
    <row r="644">
      <c r="B644" s="5"/>
      <c r="C644" s="10"/>
    </row>
    <row r="645">
      <c r="B645" s="5"/>
      <c r="C645" s="10"/>
    </row>
    <row r="646">
      <c r="B646" s="5"/>
      <c r="C646" s="10"/>
    </row>
    <row r="647">
      <c r="B647" s="5"/>
      <c r="C647" s="10"/>
    </row>
    <row r="648">
      <c r="B648" s="5"/>
      <c r="C648" s="10"/>
    </row>
    <row r="649">
      <c r="B649" s="5"/>
      <c r="C649" s="10"/>
    </row>
    <row r="650">
      <c r="B650" s="5"/>
      <c r="C650" s="10"/>
    </row>
    <row r="651">
      <c r="B651" s="5"/>
      <c r="C651" s="10"/>
    </row>
    <row r="652">
      <c r="B652" s="5"/>
      <c r="C652" s="10"/>
    </row>
    <row r="653">
      <c r="B653" s="5"/>
      <c r="C653" s="10"/>
    </row>
    <row r="654">
      <c r="B654" s="5"/>
      <c r="C654" s="10"/>
    </row>
    <row r="655">
      <c r="B655" s="5"/>
      <c r="C655" s="10"/>
    </row>
    <row r="656">
      <c r="B656" s="5"/>
      <c r="C656" s="10"/>
    </row>
    <row r="657">
      <c r="B657" s="5"/>
      <c r="C657" s="10"/>
    </row>
    <row r="658">
      <c r="B658" s="5"/>
      <c r="C658" s="10"/>
    </row>
    <row r="659">
      <c r="B659" s="5"/>
      <c r="C659" s="10"/>
    </row>
    <row r="660">
      <c r="B660" s="5"/>
      <c r="C660" s="10"/>
    </row>
    <row r="661">
      <c r="B661" s="5"/>
      <c r="C661" s="10"/>
    </row>
    <row r="662">
      <c r="B662" s="5"/>
      <c r="C662" s="10"/>
    </row>
    <row r="663">
      <c r="B663" s="5"/>
      <c r="C663" s="10"/>
    </row>
    <row r="664">
      <c r="B664" s="5"/>
      <c r="C664" s="10"/>
    </row>
    <row r="665">
      <c r="B665" s="5"/>
      <c r="C665" s="10"/>
    </row>
    <row r="666">
      <c r="B666" s="5"/>
      <c r="C666" s="10"/>
    </row>
    <row r="667">
      <c r="B667" s="5"/>
      <c r="C667" s="10"/>
    </row>
    <row r="668">
      <c r="B668" s="5"/>
      <c r="C668" s="10"/>
    </row>
    <row r="669">
      <c r="B669" s="5"/>
      <c r="C669" s="10"/>
    </row>
    <row r="670">
      <c r="B670" s="5"/>
      <c r="C670" s="10"/>
    </row>
    <row r="671">
      <c r="B671" s="5"/>
      <c r="C671" s="10"/>
    </row>
    <row r="672">
      <c r="B672" s="5"/>
      <c r="C672" s="10"/>
    </row>
    <row r="673">
      <c r="B673" s="5"/>
      <c r="C673" s="10"/>
    </row>
    <row r="674">
      <c r="B674" s="5"/>
      <c r="C674" s="10"/>
    </row>
    <row r="675">
      <c r="B675" s="5"/>
      <c r="C675" s="10"/>
    </row>
    <row r="676">
      <c r="B676" s="5"/>
      <c r="C676" s="10"/>
    </row>
    <row r="677">
      <c r="B677" s="5"/>
      <c r="C677" s="10"/>
    </row>
    <row r="678">
      <c r="B678" s="5"/>
      <c r="C678" s="10"/>
    </row>
    <row r="679">
      <c r="B679" s="5"/>
      <c r="C679" s="10"/>
    </row>
    <row r="680">
      <c r="B680" s="5"/>
      <c r="C680" s="10"/>
    </row>
    <row r="681">
      <c r="B681" s="5"/>
      <c r="C681" s="10"/>
    </row>
    <row r="682">
      <c r="B682" s="5"/>
      <c r="C682" s="10"/>
    </row>
    <row r="683">
      <c r="B683" s="5"/>
      <c r="C683" s="10"/>
    </row>
    <row r="684">
      <c r="B684" s="5"/>
      <c r="C684" s="10"/>
    </row>
    <row r="685">
      <c r="B685" s="5"/>
      <c r="C685" s="10"/>
    </row>
    <row r="686">
      <c r="B686" s="5"/>
      <c r="C686" s="10"/>
    </row>
    <row r="687">
      <c r="B687" s="5"/>
      <c r="C687" s="10"/>
    </row>
    <row r="688">
      <c r="B688" s="5"/>
      <c r="C688" s="10"/>
    </row>
    <row r="689">
      <c r="B689" s="5"/>
      <c r="C689" s="10"/>
    </row>
    <row r="690">
      <c r="B690" s="5"/>
      <c r="C690" s="10"/>
    </row>
    <row r="691">
      <c r="B691" s="5"/>
      <c r="C691" s="10"/>
    </row>
    <row r="692">
      <c r="B692" s="5"/>
      <c r="C692" s="10"/>
    </row>
    <row r="693">
      <c r="B693" s="5"/>
      <c r="C693" s="10"/>
    </row>
    <row r="694">
      <c r="B694" s="5"/>
      <c r="C694" s="10"/>
    </row>
    <row r="695">
      <c r="B695" s="5"/>
      <c r="C695" s="10"/>
    </row>
    <row r="696">
      <c r="B696" s="5"/>
      <c r="C696" s="10"/>
    </row>
    <row r="697">
      <c r="B697" s="5"/>
      <c r="C697" s="10"/>
    </row>
    <row r="698">
      <c r="B698" s="5"/>
      <c r="C698" s="10"/>
    </row>
    <row r="699">
      <c r="B699" s="5"/>
      <c r="C699" s="10"/>
    </row>
    <row r="700">
      <c r="B700" s="5"/>
      <c r="C700" s="10"/>
    </row>
    <row r="701">
      <c r="B701" s="5"/>
      <c r="C701" s="10"/>
    </row>
    <row r="702">
      <c r="B702" s="5"/>
      <c r="C702" s="10"/>
    </row>
    <row r="703">
      <c r="B703" s="5"/>
      <c r="C703" s="10"/>
    </row>
    <row r="704">
      <c r="B704" s="5"/>
      <c r="C704" s="10"/>
    </row>
    <row r="705">
      <c r="B705" s="5"/>
      <c r="C705" s="10"/>
    </row>
    <row r="706">
      <c r="B706" s="5"/>
      <c r="C706" s="10"/>
    </row>
    <row r="707">
      <c r="B707" s="5"/>
      <c r="C707" s="10"/>
    </row>
    <row r="708">
      <c r="B708" s="5"/>
      <c r="C708" s="10"/>
    </row>
    <row r="709">
      <c r="B709" s="5"/>
      <c r="C709" s="10"/>
    </row>
    <row r="710">
      <c r="B710" s="5"/>
      <c r="C710" s="10"/>
    </row>
    <row r="711">
      <c r="B711" s="5"/>
      <c r="C711" s="10"/>
    </row>
    <row r="712">
      <c r="B712" s="5"/>
      <c r="C712" s="10"/>
    </row>
    <row r="713">
      <c r="B713" s="5"/>
      <c r="C713" s="10"/>
    </row>
    <row r="714">
      <c r="B714" s="5"/>
      <c r="C714" s="10"/>
    </row>
    <row r="715">
      <c r="B715" s="5"/>
      <c r="C715" s="10"/>
    </row>
    <row r="716">
      <c r="B716" s="5"/>
      <c r="C716" s="10"/>
    </row>
    <row r="717">
      <c r="B717" s="5"/>
      <c r="C717" s="10"/>
    </row>
    <row r="718">
      <c r="B718" s="5"/>
      <c r="C718" s="10"/>
    </row>
    <row r="719">
      <c r="B719" s="5"/>
      <c r="C719" s="10"/>
    </row>
    <row r="720">
      <c r="B720" s="5"/>
      <c r="C720" s="10"/>
    </row>
    <row r="721">
      <c r="B721" s="5"/>
      <c r="C721" s="10"/>
    </row>
    <row r="722">
      <c r="B722" s="5"/>
      <c r="C722" s="10"/>
    </row>
    <row r="723">
      <c r="B723" s="5"/>
      <c r="C723" s="10"/>
    </row>
    <row r="724">
      <c r="B724" s="5"/>
      <c r="C724" s="10"/>
    </row>
    <row r="725">
      <c r="B725" s="5"/>
      <c r="C725" s="10"/>
    </row>
    <row r="726">
      <c r="B726" s="5"/>
      <c r="C726" s="10"/>
    </row>
    <row r="727">
      <c r="B727" s="5"/>
      <c r="C727" s="10"/>
    </row>
    <row r="728">
      <c r="B728" s="5"/>
      <c r="C728" s="10"/>
    </row>
    <row r="729">
      <c r="B729" s="5"/>
      <c r="C729" s="10"/>
    </row>
    <row r="730">
      <c r="B730" s="5"/>
      <c r="C730" s="10"/>
    </row>
    <row r="731">
      <c r="B731" s="5"/>
      <c r="C731" s="10"/>
    </row>
    <row r="732">
      <c r="B732" s="5"/>
      <c r="C732" s="10"/>
    </row>
    <row r="733">
      <c r="B733" s="5"/>
      <c r="C733" s="10"/>
    </row>
    <row r="734">
      <c r="B734" s="5"/>
      <c r="C734" s="10"/>
    </row>
    <row r="735">
      <c r="B735" s="5"/>
      <c r="C735" s="10"/>
    </row>
    <row r="736">
      <c r="B736" s="5"/>
      <c r="C736" s="10"/>
    </row>
    <row r="737">
      <c r="B737" s="5"/>
      <c r="C737" s="10"/>
    </row>
    <row r="738">
      <c r="B738" s="5"/>
      <c r="C738" s="10"/>
    </row>
    <row r="739">
      <c r="B739" s="5"/>
      <c r="C739" s="10"/>
    </row>
    <row r="740">
      <c r="B740" s="5"/>
      <c r="C740" s="10"/>
    </row>
    <row r="741">
      <c r="B741" s="5"/>
      <c r="C741" s="10"/>
    </row>
    <row r="742">
      <c r="B742" s="5"/>
      <c r="C742" s="10"/>
    </row>
    <row r="743">
      <c r="B743" s="5"/>
      <c r="C743" s="10"/>
    </row>
    <row r="744">
      <c r="B744" s="5"/>
      <c r="C744" s="10"/>
    </row>
    <row r="745">
      <c r="B745" s="5"/>
      <c r="C745" s="10"/>
    </row>
    <row r="746">
      <c r="B746" s="5"/>
      <c r="C746" s="10"/>
    </row>
    <row r="747">
      <c r="B747" s="5"/>
      <c r="C747" s="10"/>
    </row>
    <row r="748">
      <c r="B748" s="5"/>
      <c r="C748" s="10"/>
    </row>
    <row r="749">
      <c r="B749" s="5"/>
      <c r="C749" s="10"/>
    </row>
    <row r="750">
      <c r="B750" s="5"/>
      <c r="C750" s="10"/>
    </row>
    <row r="751">
      <c r="B751" s="5"/>
      <c r="C751" s="10"/>
    </row>
    <row r="752">
      <c r="B752" s="5"/>
      <c r="C752" s="10"/>
    </row>
    <row r="753">
      <c r="B753" s="5"/>
      <c r="C753" s="10"/>
    </row>
    <row r="754">
      <c r="B754" s="5"/>
      <c r="C754" s="10"/>
    </row>
    <row r="755">
      <c r="B755" s="5"/>
      <c r="C755" s="10"/>
    </row>
    <row r="756">
      <c r="B756" s="5"/>
      <c r="C756" s="10"/>
    </row>
    <row r="757">
      <c r="B757" s="5"/>
      <c r="C757" s="10"/>
    </row>
    <row r="758">
      <c r="B758" s="5"/>
      <c r="C758" s="10"/>
    </row>
    <row r="759">
      <c r="B759" s="5"/>
      <c r="C759" s="10"/>
    </row>
    <row r="760">
      <c r="B760" s="5"/>
      <c r="C760" s="10"/>
    </row>
    <row r="761">
      <c r="B761" s="5"/>
      <c r="C761" s="10"/>
    </row>
    <row r="762">
      <c r="B762" s="5"/>
      <c r="C762" s="10"/>
    </row>
    <row r="763">
      <c r="B763" s="5"/>
      <c r="C763" s="10"/>
    </row>
    <row r="764">
      <c r="B764" s="5"/>
      <c r="C764" s="10"/>
    </row>
    <row r="765">
      <c r="B765" s="5"/>
      <c r="C765" s="10"/>
    </row>
    <row r="766">
      <c r="B766" s="5"/>
      <c r="C766" s="10"/>
    </row>
    <row r="767">
      <c r="B767" s="5"/>
      <c r="C767" s="10"/>
    </row>
    <row r="768">
      <c r="B768" s="5"/>
      <c r="C768" s="10"/>
    </row>
    <row r="769">
      <c r="B769" s="5"/>
      <c r="C769" s="10"/>
    </row>
    <row r="770">
      <c r="B770" s="5"/>
      <c r="C770" s="10"/>
    </row>
    <row r="771">
      <c r="B771" s="5"/>
      <c r="C771" s="10"/>
    </row>
    <row r="772">
      <c r="B772" s="5"/>
      <c r="C772" s="10"/>
    </row>
    <row r="773">
      <c r="B773" s="5"/>
      <c r="C773" s="10"/>
    </row>
    <row r="774">
      <c r="B774" s="5"/>
      <c r="C774" s="10"/>
    </row>
    <row r="775">
      <c r="B775" s="5"/>
      <c r="C775" s="10"/>
    </row>
    <row r="776">
      <c r="B776" s="5"/>
      <c r="C776" s="10"/>
    </row>
    <row r="777">
      <c r="B777" s="5"/>
      <c r="C777" s="10"/>
    </row>
    <row r="778">
      <c r="B778" s="5"/>
      <c r="C778" s="10"/>
    </row>
    <row r="779">
      <c r="B779" s="5"/>
      <c r="C779" s="10"/>
    </row>
    <row r="780">
      <c r="B780" s="5"/>
      <c r="C780" s="10"/>
    </row>
    <row r="781">
      <c r="B781" s="5"/>
      <c r="C781" s="10"/>
    </row>
    <row r="782">
      <c r="B782" s="5"/>
      <c r="C782" s="10"/>
    </row>
    <row r="783">
      <c r="B783" s="5"/>
      <c r="C783" s="10"/>
    </row>
    <row r="784">
      <c r="B784" s="5"/>
      <c r="C784" s="10"/>
    </row>
    <row r="785">
      <c r="B785" s="5"/>
      <c r="C785" s="10"/>
    </row>
    <row r="786">
      <c r="B786" s="5"/>
      <c r="C786" s="10"/>
    </row>
    <row r="787">
      <c r="B787" s="5"/>
      <c r="C787" s="10"/>
    </row>
    <row r="788">
      <c r="B788" s="5"/>
      <c r="C788" s="10"/>
    </row>
    <row r="789">
      <c r="B789" s="5"/>
      <c r="C789" s="10"/>
    </row>
    <row r="790">
      <c r="B790" s="5"/>
      <c r="C790" s="10"/>
    </row>
    <row r="791">
      <c r="B791" s="5"/>
      <c r="C791" s="10"/>
    </row>
    <row r="792">
      <c r="B792" s="5"/>
      <c r="C792" s="10"/>
    </row>
    <row r="793">
      <c r="B793" s="5"/>
      <c r="C793" s="10"/>
    </row>
    <row r="794">
      <c r="B794" s="5"/>
      <c r="C794" s="10"/>
    </row>
    <row r="795">
      <c r="B795" s="5"/>
      <c r="C795" s="10"/>
    </row>
    <row r="796">
      <c r="B796" s="5"/>
      <c r="C796" s="10"/>
    </row>
    <row r="797">
      <c r="B797" s="5"/>
      <c r="C797" s="10"/>
    </row>
    <row r="798">
      <c r="B798" s="5"/>
      <c r="C798" s="10"/>
    </row>
    <row r="799">
      <c r="B799" s="5"/>
      <c r="C799" s="10"/>
    </row>
    <row r="800">
      <c r="B800" s="5"/>
      <c r="C800" s="10"/>
    </row>
    <row r="801">
      <c r="B801" s="5"/>
      <c r="C801" s="10"/>
    </row>
    <row r="802">
      <c r="B802" s="5"/>
      <c r="C802" s="10"/>
    </row>
    <row r="803">
      <c r="B803" s="5"/>
      <c r="C803" s="10"/>
    </row>
    <row r="804">
      <c r="B804" s="5"/>
      <c r="C804" s="10"/>
    </row>
    <row r="805">
      <c r="B805" s="5"/>
      <c r="C805" s="10"/>
    </row>
    <row r="806">
      <c r="B806" s="5"/>
      <c r="C806" s="10"/>
    </row>
    <row r="807">
      <c r="B807" s="5"/>
      <c r="C807" s="10"/>
    </row>
    <row r="808">
      <c r="B808" s="5"/>
      <c r="C808" s="10"/>
    </row>
    <row r="809">
      <c r="B809" s="5"/>
      <c r="C809" s="10"/>
    </row>
    <row r="810">
      <c r="B810" s="5"/>
      <c r="C810" s="10"/>
    </row>
    <row r="811">
      <c r="B811" s="5"/>
      <c r="C811" s="10"/>
    </row>
    <row r="812">
      <c r="B812" s="5"/>
      <c r="C812" s="10"/>
    </row>
    <row r="813">
      <c r="B813" s="5"/>
      <c r="C813" s="10"/>
    </row>
    <row r="814">
      <c r="B814" s="5"/>
      <c r="C814" s="10"/>
    </row>
    <row r="815">
      <c r="B815" s="5"/>
      <c r="C815" s="10"/>
    </row>
    <row r="816">
      <c r="B816" s="5"/>
      <c r="C816" s="10"/>
    </row>
    <row r="817">
      <c r="B817" s="5"/>
      <c r="C817" s="10"/>
    </row>
    <row r="818">
      <c r="B818" s="5"/>
      <c r="C818" s="10"/>
    </row>
    <row r="819">
      <c r="B819" s="5"/>
      <c r="C819" s="10"/>
    </row>
    <row r="820">
      <c r="B820" s="5"/>
      <c r="C820" s="10"/>
    </row>
    <row r="821">
      <c r="B821" s="5"/>
      <c r="C821" s="10"/>
    </row>
    <row r="822">
      <c r="B822" s="5"/>
      <c r="C822" s="10"/>
    </row>
    <row r="823">
      <c r="B823" s="5"/>
      <c r="C823" s="10"/>
    </row>
    <row r="824">
      <c r="B824" s="5"/>
      <c r="C824" s="10"/>
    </row>
    <row r="825">
      <c r="B825" s="5"/>
      <c r="C825" s="10"/>
    </row>
    <row r="826">
      <c r="B826" s="5"/>
      <c r="C826" s="10"/>
    </row>
    <row r="827">
      <c r="B827" s="5"/>
      <c r="C827" s="10"/>
    </row>
    <row r="828">
      <c r="B828" s="5"/>
      <c r="C828" s="10"/>
    </row>
    <row r="829">
      <c r="B829" s="5"/>
      <c r="C829" s="10"/>
    </row>
    <row r="830">
      <c r="B830" s="5"/>
      <c r="C830" s="10"/>
    </row>
    <row r="831">
      <c r="B831" s="5"/>
      <c r="C831" s="10"/>
    </row>
    <row r="832">
      <c r="B832" s="5"/>
      <c r="C832" s="10"/>
    </row>
    <row r="833">
      <c r="B833" s="5"/>
      <c r="C833" s="10"/>
    </row>
    <row r="834">
      <c r="B834" s="5"/>
      <c r="C834" s="10"/>
    </row>
    <row r="835">
      <c r="B835" s="5"/>
      <c r="C835" s="10"/>
    </row>
    <row r="836">
      <c r="B836" s="5"/>
      <c r="C836" s="10"/>
    </row>
    <row r="837">
      <c r="B837" s="5"/>
      <c r="C837" s="10"/>
    </row>
    <row r="838">
      <c r="B838" s="5"/>
      <c r="C838" s="10"/>
    </row>
    <row r="839">
      <c r="B839" s="5"/>
      <c r="C839" s="10"/>
    </row>
    <row r="840">
      <c r="B840" s="5"/>
      <c r="C840" s="10"/>
    </row>
    <row r="841">
      <c r="B841" s="5"/>
      <c r="C841" s="10"/>
    </row>
    <row r="842">
      <c r="B842" s="5"/>
      <c r="C842" s="10"/>
    </row>
    <row r="843">
      <c r="B843" s="5"/>
      <c r="C843" s="10"/>
    </row>
    <row r="844">
      <c r="B844" s="5"/>
      <c r="C844" s="10"/>
    </row>
    <row r="845">
      <c r="B845" s="5"/>
      <c r="C845" s="10"/>
    </row>
    <row r="846">
      <c r="B846" s="5"/>
      <c r="C846" s="10"/>
    </row>
    <row r="847">
      <c r="B847" s="5"/>
      <c r="C847" s="10"/>
    </row>
    <row r="848">
      <c r="B848" s="5"/>
      <c r="C848" s="10"/>
    </row>
    <row r="849">
      <c r="B849" s="5"/>
      <c r="C849" s="10"/>
    </row>
    <row r="850">
      <c r="B850" s="5"/>
      <c r="C850" s="10"/>
    </row>
    <row r="851">
      <c r="B851" s="5"/>
      <c r="C851" s="10"/>
    </row>
    <row r="852">
      <c r="B852" s="5"/>
      <c r="C852" s="10"/>
    </row>
    <row r="853">
      <c r="B853" s="5"/>
      <c r="C853" s="10"/>
    </row>
    <row r="854">
      <c r="B854" s="5"/>
      <c r="C854" s="10"/>
    </row>
    <row r="855">
      <c r="B855" s="5"/>
      <c r="C855" s="10"/>
    </row>
    <row r="856">
      <c r="B856" s="5"/>
      <c r="C856" s="10"/>
    </row>
    <row r="857">
      <c r="B857" s="5"/>
      <c r="C857" s="10"/>
    </row>
    <row r="858">
      <c r="B858" s="5"/>
      <c r="C858" s="10"/>
    </row>
    <row r="859">
      <c r="B859" s="5"/>
      <c r="C859" s="10"/>
    </row>
    <row r="860">
      <c r="B860" s="5"/>
      <c r="C860" s="10"/>
    </row>
    <row r="861">
      <c r="B861" s="5"/>
      <c r="C861" s="10"/>
    </row>
    <row r="862">
      <c r="B862" s="5"/>
      <c r="C862" s="10"/>
    </row>
    <row r="863">
      <c r="B863" s="5"/>
      <c r="C863" s="10"/>
    </row>
    <row r="864">
      <c r="B864" s="5"/>
      <c r="C864" s="10"/>
    </row>
    <row r="865">
      <c r="B865" s="5"/>
      <c r="C865" s="10"/>
    </row>
    <row r="866">
      <c r="B866" s="5"/>
      <c r="C866" s="10"/>
    </row>
    <row r="867">
      <c r="B867" s="5"/>
      <c r="C867" s="10"/>
    </row>
    <row r="868">
      <c r="B868" s="5"/>
      <c r="C868" s="10"/>
    </row>
    <row r="869">
      <c r="B869" s="5"/>
      <c r="C869" s="10"/>
    </row>
    <row r="870">
      <c r="B870" s="5"/>
      <c r="C870" s="10"/>
    </row>
    <row r="871">
      <c r="B871" s="5"/>
      <c r="C871" s="10"/>
    </row>
    <row r="872">
      <c r="B872" s="5"/>
      <c r="C872" s="10"/>
    </row>
    <row r="873">
      <c r="B873" s="5"/>
      <c r="C873" s="10"/>
    </row>
    <row r="874">
      <c r="B874" s="5"/>
      <c r="C874" s="10"/>
    </row>
    <row r="875">
      <c r="B875" s="5"/>
      <c r="C875" s="10"/>
    </row>
    <row r="876">
      <c r="B876" s="5"/>
      <c r="C876" s="10"/>
    </row>
    <row r="877">
      <c r="B877" s="5"/>
      <c r="C877" s="10"/>
    </row>
    <row r="878">
      <c r="B878" s="5"/>
      <c r="C878" s="10"/>
    </row>
    <row r="879">
      <c r="B879" s="5"/>
      <c r="C879" s="10"/>
    </row>
    <row r="880">
      <c r="B880" s="5"/>
      <c r="C880" s="10"/>
    </row>
    <row r="881">
      <c r="B881" s="5"/>
      <c r="C881" s="10"/>
    </row>
    <row r="882">
      <c r="B882" s="5"/>
      <c r="C882" s="10"/>
    </row>
    <row r="883">
      <c r="B883" s="5"/>
      <c r="C883" s="10"/>
    </row>
    <row r="884">
      <c r="B884" s="5"/>
      <c r="C884" s="10"/>
    </row>
    <row r="885">
      <c r="B885" s="5"/>
      <c r="C885" s="10"/>
    </row>
    <row r="886">
      <c r="B886" s="5"/>
      <c r="C886" s="10"/>
    </row>
    <row r="887">
      <c r="B887" s="5"/>
      <c r="C887" s="10"/>
    </row>
    <row r="888">
      <c r="B888" s="5"/>
      <c r="C888" s="10"/>
    </row>
    <row r="889">
      <c r="B889" s="5"/>
      <c r="C889" s="10"/>
    </row>
    <row r="890">
      <c r="B890" s="5"/>
      <c r="C890" s="10"/>
    </row>
    <row r="891">
      <c r="B891" s="5"/>
      <c r="C891" s="10"/>
    </row>
    <row r="892">
      <c r="B892" s="5"/>
      <c r="C892" s="10"/>
    </row>
    <row r="893">
      <c r="B893" s="5"/>
      <c r="C893" s="10"/>
    </row>
    <row r="894">
      <c r="B894" s="5"/>
      <c r="C894" s="10"/>
    </row>
    <row r="895">
      <c r="B895" s="5"/>
      <c r="C895" s="10"/>
    </row>
    <row r="896">
      <c r="B896" s="5"/>
      <c r="C896" s="10"/>
    </row>
    <row r="897">
      <c r="B897" s="5"/>
      <c r="C897" s="10"/>
    </row>
    <row r="898">
      <c r="B898" s="5"/>
      <c r="C898" s="10"/>
    </row>
    <row r="899">
      <c r="B899" s="5"/>
      <c r="C899" s="10"/>
    </row>
    <row r="900">
      <c r="B900" s="5"/>
      <c r="C900" s="10"/>
    </row>
    <row r="901">
      <c r="B901" s="5"/>
      <c r="C901" s="10"/>
    </row>
    <row r="902">
      <c r="B902" s="5"/>
      <c r="C902" s="10"/>
    </row>
    <row r="903">
      <c r="B903" s="5"/>
      <c r="C903" s="10"/>
    </row>
    <row r="904">
      <c r="B904" s="5"/>
      <c r="C904" s="10"/>
    </row>
    <row r="905">
      <c r="B905" s="5"/>
      <c r="C905" s="10"/>
    </row>
    <row r="906">
      <c r="B906" s="5"/>
      <c r="C906" s="10"/>
    </row>
    <row r="907">
      <c r="B907" s="5"/>
      <c r="C907" s="10"/>
    </row>
    <row r="908">
      <c r="B908" s="5"/>
      <c r="C908" s="10"/>
    </row>
    <row r="909">
      <c r="B909" s="5"/>
      <c r="C909" s="10"/>
    </row>
    <row r="910">
      <c r="B910" s="5"/>
      <c r="C910" s="10"/>
    </row>
    <row r="911">
      <c r="B911" s="5"/>
      <c r="C911" s="10"/>
    </row>
    <row r="912">
      <c r="B912" s="5"/>
      <c r="C912" s="10"/>
    </row>
    <row r="913">
      <c r="B913" s="5"/>
      <c r="C913" s="10"/>
    </row>
    <row r="914">
      <c r="B914" s="5"/>
      <c r="C914" s="10"/>
    </row>
    <row r="915">
      <c r="B915" s="5"/>
      <c r="C915" s="10"/>
    </row>
    <row r="916">
      <c r="B916" s="5"/>
      <c r="C916" s="10"/>
    </row>
    <row r="917">
      <c r="B917" s="5"/>
      <c r="C917" s="10"/>
    </row>
    <row r="918">
      <c r="B918" s="5"/>
      <c r="C918" s="10"/>
    </row>
    <row r="919">
      <c r="B919" s="5"/>
      <c r="C919" s="10"/>
    </row>
    <row r="920">
      <c r="B920" s="5"/>
      <c r="C920" s="10"/>
    </row>
    <row r="921">
      <c r="B921" s="5"/>
      <c r="C921" s="10"/>
    </row>
    <row r="922">
      <c r="B922" s="5"/>
      <c r="C922" s="10"/>
    </row>
    <row r="923">
      <c r="B923" s="5"/>
      <c r="C923" s="10"/>
    </row>
    <row r="924">
      <c r="B924" s="5"/>
      <c r="C924" s="10"/>
    </row>
    <row r="925">
      <c r="B925" s="5"/>
      <c r="C925" s="10"/>
    </row>
    <row r="926">
      <c r="B926" s="5"/>
      <c r="C926" s="10"/>
    </row>
    <row r="927">
      <c r="B927" s="5"/>
      <c r="C927" s="10"/>
    </row>
    <row r="928">
      <c r="B928" s="5"/>
      <c r="C928" s="10"/>
    </row>
    <row r="929">
      <c r="B929" s="5"/>
      <c r="C929" s="10"/>
    </row>
    <row r="930">
      <c r="B930" s="5"/>
      <c r="C930" s="10"/>
    </row>
    <row r="931">
      <c r="B931" s="5"/>
      <c r="C931" s="10"/>
    </row>
    <row r="932">
      <c r="B932" s="5"/>
      <c r="C932" s="10"/>
    </row>
    <row r="933">
      <c r="B933" s="5"/>
      <c r="C933" s="10"/>
    </row>
    <row r="934">
      <c r="B934" s="5"/>
      <c r="C934" s="10"/>
    </row>
    <row r="935">
      <c r="B935" s="5"/>
      <c r="C935" s="10"/>
    </row>
    <row r="936">
      <c r="B936" s="5"/>
      <c r="C936" s="10"/>
    </row>
    <row r="937">
      <c r="B937" s="5"/>
      <c r="C937" s="10"/>
    </row>
    <row r="938">
      <c r="B938" s="5"/>
      <c r="C938" s="10"/>
    </row>
    <row r="939">
      <c r="B939" s="5"/>
      <c r="C939" s="10"/>
    </row>
    <row r="940">
      <c r="B940" s="5"/>
      <c r="C940" s="10"/>
    </row>
    <row r="941">
      <c r="B941" s="5"/>
      <c r="C941" s="10"/>
    </row>
    <row r="942">
      <c r="B942" s="5"/>
      <c r="C942" s="10"/>
    </row>
    <row r="943">
      <c r="B943" s="5"/>
      <c r="C943" s="10"/>
    </row>
    <row r="944">
      <c r="B944" s="5"/>
      <c r="C944" s="10"/>
    </row>
    <row r="945">
      <c r="B945" s="5"/>
      <c r="C945" s="10"/>
    </row>
    <row r="946">
      <c r="B946" s="5"/>
      <c r="C946" s="10"/>
    </row>
    <row r="947">
      <c r="B947" s="5"/>
      <c r="C947" s="10"/>
    </row>
    <row r="948">
      <c r="B948" s="5"/>
      <c r="C948" s="10"/>
    </row>
    <row r="949">
      <c r="B949" s="5"/>
      <c r="C949" s="10"/>
    </row>
    <row r="950">
      <c r="B950" s="5"/>
      <c r="C950" s="10"/>
    </row>
    <row r="951">
      <c r="B951" s="5"/>
      <c r="C951" s="10"/>
    </row>
    <row r="952">
      <c r="B952" s="5"/>
      <c r="C952" s="10"/>
    </row>
    <row r="953">
      <c r="B953" s="5"/>
      <c r="C953" s="10"/>
    </row>
    <row r="954">
      <c r="B954" s="5"/>
      <c r="C954" s="10"/>
    </row>
    <row r="955">
      <c r="B955" s="5"/>
      <c r="C955" s="10"/>
    </row>
    <row r="956">
      <c r="B956" s="5"/>
      <c r="C956" s="10"/>
    </row>
    <row r="957">
      <c r="B957" s="5"/>
      <c r="C957" s="10"/>
    </row>
    <row r="958">
      <c r="B958" s="5"/>
      <c r="C958" s="1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5"/>
    <col customWidth="1" min="4" max="4" width="22.63"/>
  </cols>
  <sheetData>
    <row r="1">
      <c r="A1" s="1" t="s">
        <v>213</v>
      </c>
      <c r="B1" s="1">
        <v>40.0</v>
      </c>
    </row>
    <row r="4">
      <c r="A4" s="1" t="s">
        <v>214</v>
      </c>
      <c r="B4" s="1">
        <v>10.0</v>
      </c>
    </row>
    <row r="5">
      <c r="A5" s="1" t="s">
        <v>215</v>
      </c>
      <c r="B5" s="1">
        <v>28.0</v>
      </c>
    </row>
    <row r="6">
      <c r="A6" s="1" t="s">
        <v>216</v>
      </c>
      <c r="B6" s="1">
        <v>10.0</v>
      </c>
    </row>
    <row r="7">
      <c r="A7" s="1" t="s">
        <v>217</v>
      </c>
      <c r="B7" s="1">
        <v>20.0</v>
      </c>
    </row>
    <row r="8">
      <c r="A8" s="1" t="s">
        <v>218</v>
      </c>
      <c r="B8" s="1">
        <v>10.0</v>
      </c>
    </row>
    <row r="9">
      <c r="A9" s="1" t="s">
        <v>219</v>
      </c>
      <c r="B9" s="1">
        <v>20.0</v>
      </c>
    </row>
    <row r="10">
      <c r="A10" s="1" t="s">
        <v>220</v>
      </c>
      <c r="B10" s="1">
        <v>40.0</v>
      </c>
    </row>
    <row r="11">
      <c r="A11" s="1" t="s">
        <v>221</v>
      </c>
      <c r="B11" s="1">
        <v>110.0</v>
      </c>
    </row>
    <row r="12">
      <c r="A12" s="1" t="s">
        <v>222</v>
      </c>
      <c r="B12" s="1">
        <v>100.0</v>
      </c>
    </row>
    <row r="14">
      <c r="A14" s="1" t="s">
        <v>223</v>
      </c>
      <c r="B14" s="1">
        <v>6.0</v>
      </c>
    </row>
    <row r="15">
      <c r="A15" s="1" t="s">
        <v>224</v>
      </c>
      <c r="B15" s="1">
        <v>64.0</v>
      </c>
    </row>
    <row r="18">
      <c r="A18" s="1" t="s">
        <v>225</v>
      </c>
      <c r="B18" s="1">
        <v>20.0</v>
      </c>
    </row>
    <row r="22">
      <c r="A22" s="1" t="s">
        <v>226</v>
      </c>
      <c r="B22" s="1">
        <v>10.0</v>
      </c>
      <c r="D22" s="1"/>
      <c r="E22" s="1"/>
    </row>
    <row r="25">
      <c r="A25" s="1" t="s">
        <v>227</v>
      </c>
      <c r="B25" s="1">
        <v>20.0</v>
      </c>
    </row>
    <row r="26">
      <c r="A26" s="1" t="s">
        <v>228</v>
      </c>
      <c r="B26" s="1">
        <v>133.0</v>
      </c>
      <c r="D26" s="1"/>
      <c r="E26" s="1"/>
    </row>
    <row r="27">
      <c r="A27" s="72"/>
    </row>
    <row r="28">
      <c r="A28" s="1" t="s">
        <v>229</v>
      </c>
      <c r="B28" s="1">
        <v>30.0</v>
      </c>
    </row>
    <row r="31">
      <c r="D31" s="1"/>
      <c r="E31" s="1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</row>
    <row r="32">
      <c r="A32" s="1" t="s">
        <v>230</v>
      </c>
      <c r="B32" s="1">
        <v>110.0</v>
      </c>
    </row>
    <row r="33">
      <c r="A33" s="1" t="s">
        <v>231</v>
      </c>
      <c r="B33" s="1">
        <v>40.0</v>
      </c>
      <c r="C33" s="1"/>
    </row>
    <row r="34">
      <c r="A34" s="1" t="s">
        <v>232</v>
      </c>
      <c r="B34" s="1">
        <v>280.0</v>
      </c>
    </row>
    <row r="35">
      <c r="C35" s="1"/>
    </row>
    <row r="36">
      <c r="A36" s="1" t="s">
        <v>233</v>
      </c>
      <c r="B36" s="1">
        <v>27.0</v>
      </c>
    </row>
    <row r="37">
      <c r="A37" s="1" t="s">
        <v>234</v>
      </c>
      <c r="B37" s="1">
        <v>80.0</v>
      </c>
    </row>
    <row r="40">
      <c r="A40" s="1" t="s">
        <v>235</v>
      </c>
      <c r="B40" s="1">
        <v>80.0</v>
      </c>
    </row>
    <row r="41">
      <c r="A41" s="1" t="s">
        <v>236</v>
      </c>
      <c r="B41" s="1">
        <v>60.0</v>
      </c>
    </row>
    <row r="43">
      <c r="A43" s="1" t="s">
        <v>237</v>
      </c>
    </row>
    <row r="44">
      <c r="A44" s="1" t="s">
        <v>238</v>
      </c>
      <c r="B44" s="1">
        <v>20.0</v>
      </c>
    </row>
    <row r="45">
      <c r="A45" s="1" t="s">
        <v>239</v>
      </c>
      <c r="B45" s="1">
        <v>11.0</v>
      </c>
    </row>
    <row r="46">
      <c r="A46" s="1" t="s">
        <v>240</v>
      </c>
      <c r="B46" s="1">
        <v>40.0</v>
      </c>
    </row>
    <row r="47">
      <c r="A47" s="1"/>
    </row>
    <row r="48">
      <c r="A48" s="1" t="s">
        <v>241</v>
      </c>
      <c r="B48" s="1">
        <v>10.0</v>
      </c>
    </row>
    <row r="49">
      <c r="A49" s="1" t="s">
        <v>242</v>
      </c>
      <c r="B49" s="1">
        <v>10.0</v>
      </c>
    </row>
    <row r="50">
      <c r="A50" s="1" t="s">
        <v>243</v>
      </c>
      <c r="B50" s="1">
        <v>137.0</v>
      </c>
    </row>
    <row r="52" ht="16.5" customHeight="1">
      <c r="A52" s="1" t="s">
        <v>244</v>
      </c>
      <c r="B52" s="1">
        <v>40.0</v>
      </c>
    </row>
    <row r="53">
      <c r="A53" s="1" t="s">
        <v>245</v>
      </c>
    </row>
    <row r="54">
      <c r="A54" s="1" t="s">
        <v>246</v>
      </c>
      <c r="B54" s="1">
        <v>10.0</v>
      </c>
    </row>
    <row r="55">
      <c r="A55" s="1" t="s">
        <v>247</v>
      </c>
      <c r="B55" s="1">
        <v>30.0</v>
      </c>
    </row>
    <row r="58">
      <c r="A58" s="1" t="s">
        <v>248</v>
      </c>
      <c r="B58" s="1">
        <v>30.0</v>
      </c>
    </row>
    <row r="59">
      <c r="A59" s="1" t="s">
        <v>249</v>
      </c>
    </row>
    <row r="60">
      <c r="A60" s="1" t="s">
        <v>250</v>
      </c>
      <c r="B60" s="1">
        <v>40.0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4" max="4" width="22.0"/>
    <col customWidth="1" min="5" max="5" width="26.38"/>
    <col customWidth="1" min="6" max="6" width="22.63"/>
  </cols>
  <sheetData>
    <row r="1">
      <c r="A1" s="1" t="s">
        <v>251</v>
      </c>
      <c r="B1" s="1">
        <v>10.0</v>
      </c>
    </row>
    <row r="5">
      <c r="A5" s="1" t="s">
        <v>252</v>
      </c>
      <c r="B5" s="1">
        <v>72.0</v>
      </c>
    </row>
    <row r="6">
      <c r="A6" s="1" t="s">
        <v>253</v>
      </c>
      <c r="B6" s="1">
        <v>10.0</v>
      </c>
      <c r="F6" s="1"/>
    </row>
    <row r="10">
      <c r="F10" s="1"/>
    </row>
    <row r="11">
      <c r="A11" s="1" t="s">
        <v>254</v>
      </c>
      <c r="B11" s="1">
        <v>70.0</v>
      </c>
    </row>
    <row r="13">
      <c r="A13" s="1" t="s">
        <v>255</v>
      </c>
      <c r="B13" s="1">
        <v>10.0</v>
      </c>
    </row>
    <row r="15">
      <c r="A15" s="1" t="s">
        <v>256</v>
      </c>
      <c r="B15" s="1">
        <v>60.0</v>
      </c>
    </row>
    <row r="18">
      <c r="A18" s="1" t="s">
        <v>257</v>
      </c>
      <c r="B18" s="1">
        <v>70.0</v>
      </c>
    </row>
    <row r="19">
      <c r="A19" s="1" t="s">
        <v>258</v>
      </c>
      <c r="B19" s="1">
        <v>51.0</v>
      </c>
    </row>
    <row r="20">
      <c r="A20" s="1" t="s">
        <v>259</v>
      </c>
      <c r="B20" s="1">
        <v>30.0</v>
      </c>
      <c r="E20" s="1"/>
      <c r="F20" s="1"/>
    </row>
    <row r="21">
      <c r="A21" s="1" t="s">
        <v>260</v>
      </c>
      <c r="B21" s="1">
        <v>221.0</v>
      </c>
      <c r="F21" s="1"/>
    </row>
    <row r="22">
      <c r="A22" s="1" t="s">
        <v>261</v>
      </c>
      <c r="B22" s="1">
        <v>17.0</v>
      </c>
      <c r="C22" s="1" t="s">
        <v>262</v>
      </c>
    </row>
    <row r="23">
      <c r="A23" s="1" t="s">
        <v>263</v>
      </c>
      <c r="B23" s="1">
        <v>90.0</v>
      </c>
    </row>
    <row r="24">
      <c r="A24" s="1" t="s">
        <v>264</v>
      </c>
      <c r="B24" s="1">
        <v>84.0</v>
      </c>
    </row>
    <row r="25">
      <c r="A25" s="1" t="s">
        <v>265</v>
      </c>
      <c r="B25" s="1">
        <v>90.0</v>
      </c>
    </row>
    <row r="27">
      <c r="A27" s="1" t="s">
        <v>266</v>
      </c>
      <c r="B27" s="1">
        <v>13.0</v>
      </c>
    </row>
    <row r="29">
      <c r="A29" s="1" t="s">
        <v>267</v>
      </c>
      <c r="B29" s="1">
        <v>40.0</v>
      </c>
    </row>
    <row r="30">
      <c r="A30" s="1" t="s">
        <v>268</v>
      </c>
      <c r="B30" s="1">
        <v>9.0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  <col customWidth="1" min="3" max="3" width="31.13"/>
    <col customWidth="1" min="4" max="4" width="18.0"/>
    <col customWidth="1" min="5" max="5" width="42.63"/>
    <col customWidth="1" min="9" max="9" width="23.63"/>
  </cols>
  <sheetData>
    <row r="1">
      <c r="A1" s="74" t="s">
        <v>269</v>
      </c>
      <c r="B1" s="1">
        <v>114.0</v>
      </c>
    </row>
    <row r="2">
      <c r="A2" s="54" t="s">
        <v>270</v>
      </c>
      <c r="B2" s="1">
        <v>30.0</v>
      </c>
    </row>
    <row r="3">
      <c r="A3" s="54"/>
    </row>
    <row r="4">
      <c r="A4" s="74" t="s">
        <v>271</v>
      </c>
      <c r="B4" s="1">
        <v>60.0</v>
      </c>
    </row>
    <row r="5">
      <c r="A5" s="74" t="s">
        <v>272</v>
      </c>
      <c r="B5" s="1">
        <v>210.0</v>
      </c>
    </row>
    <row r="6">
      <c r="A6" s="1" t="s">
        <v>273</v>
      </c>
      <c r="B6" s="1">
        <v>84.0</v>
      </c>
    </row>
    <row r="7">
      <c r="A7" s="74" t="s">
        <v>274</v>
      </c>
      <c r="B7" s="1">
        <v>40.0</v>
      </c>
    </row>
    <row r="8">
      <c r="A8" s="74" t="s">
        <v>275</v>
      </c>
      <c r="B8" s="1">
        <v>50.0</v>
      </c>
    </row>
    <row r="9">
      <c r="A9" s="74" t="s">
        <v>276</v>
      </c>
      <c r="B9" s="1">
        <v>260.0</v>
      </c>
    </row>
    <row r="10">
      <c r="A10" s="74" t="s">
        <v>277</v>
      </c>
      <c r="B10" s="1">
        <v>50.0</v>
      </c>
    </row>
    <row r="11">
      <c r="A11" s="54"/>
    </row>
    <row r="13">
      <c r="A13" s="74" t="s">
        <v>278</v>
      </c>
      <c r="B13" s="1">
        <v>40.0</v>
      </c>
    </row>
    <row r="14">
      <c r="A14" s="74"/>
    </row>
    <row r="15">
      <c r="A15" s="74"/>
    </row>
    <row r="16">
      <c r="A16" s="74" t="s">
        <v>279</v>
      </c>
      <c r="B16" s="1">
        <v>60.0</v>
      </c>
    </row>
    <row r="17">
      <c r="A17" s="74" t="s">
        <v>280</v>
      </c>
      <c r="B17" s="1">
        <v>30.0</v>
      </c>
    </row>
    <row r="18">
      <c r="A18" s="74"/>
    </row>
    <row r="19">
      <c r="A19" s="74" t="s">
        <v>281</v>
      </c>
      <c r="B19" s="1">
        <v>220.0</v>
      </c>
    </row>
    <row r="20">
      <c r="A20" s="74" t="s">
        <v>282</v>
      </c>
      <c r="B20" s="1">
        <v>60.0</v>
      </c>
    </row>
    <row r="21">
      <c r="A21" s="74" t="s">
        <v>283</v>
      </c>
      <c r="B21" s="1">
        <v>50.0</v>
      </c>
    </row>
    <row r="22">
      <c r="A22" s="74"/>
    </row>
    <row r="23">
      <c r="A23" s="1" t="s">
        <v>284</v>
      </c>
      <c r="B23" s="1">
        <v>80.0</v>
      </c>
    </row>
    <row r="24">
      <c r="A24" s="1" t="s">
        <v>285</v>
      </c>
      <c r="B24" s="1">
        <v>120.0</v>
      </c>
    </row>
    <row r="25">
      <c r="A25" s="1" t="s">
        <v>286</v>
      </c>
      <c r="B25" s="1">
        <v>260.0</v>
      </c>
    </row>
    <row r="26">
      <c r="A26" s="1"/>
      <c r="B26" s="1"/>
    </row>
    <row r="27">
      <c r="A27" s="1" t="s">
        <v>287</v>
      </c>
      <c r="B27" s="1">
        <v>24.0</v>
      </c>
    </row>
    <row r="29">
      <c r="A29" s="1" t="s">
        <v>288</v>
      </c>
      <c r="B29" s="1">
        <v>10.0</v>
      </c>
    </row>
    <row r="30">
      <c r="A30" s="54" t="s">
        <v>289</v>
      </c>
      <c r="B30" s="1">
        <v>500.0</v>
      </c>
    </row>
    <row r="31">
      <c r="A31" s="74"/>
    </row>
    <row r="32">
      <c r="A32" s="74" t="s">
        <v>290</v>
      </c>
      <c r="B32" s="1">
        <v>180.0</v>
      </c>
    </row>
    <row r="33">
      <c r="A33" s="74"/>
    </row>
    <row r="34">
      <c r="A34" s="74" t="s">
        <v>291</v>
      </c>
      <c r="B34" s="1">
        <v>30.0</v>
      </c>
    </row>
    <row r="35">
      <c r="A35" s="74" t="s">
        <v>292</v>
      </c>
      <c r="B35" s="1">
        <v>40.0</v>
      </c>
    </row>
    <row r="36">
      <c r="A36" s="74"/>
    </row>
    <row r="37">
      <c r="A37" s="74"/>
    </row>
    <row r="38">
      <c r="A38" s="54"/>
      <c r="B38" s="1"/>
      <c r="C38" s="1"/>
    </row>
    <row r="39">
      <c r="A39" s="54"/>
    </row>
    <row r="40">
      <c r="A40" s="54" t="s">
        <v>293</v>
      </c>
      <c r="B40" s="1">
        <v>61.0</v>
      </c>
    </row>
    <row r="41">
      <c r="A41" s="74" t="s">
        <v>294</v>
      </c>
      <c r="B41" s="1">
        <v>170.0</v>
      </c>
      <c r="C41" s="1"/>
    </row>
    <row r="42">
      <c r="A42" s="74" t="s">
        <v>295</v>
      </c>
      <c r="B42" s="1">
        <v>170.0</v>
      </c>
    </row>
    <row r="43">
      <c r="A43" s="74"/>
    </row>
    <row r="44">
      <c r="A44" s="74"/>
    </row>
    <row r="45">
      <c r="A45" s="74" t="s">
        <v>296</v>
      </c>
      <c r="B45" s="1">
        <v>30.0</v>
      </c>
    </row>
    <row r="46">
      <c r="A46" s="74" t="s">
        <v>297</v>
      </c>
      <c r="B46" s="1">
        <v>170.0</v>
      </c>
    </row>
    <row r="47">
      <c r="A47" s="74" t="s">
        <v>298</v>
      </c>
      <c r="B47" s="1">
        <v>40.0</v>
      </c>
    </row>
    <row r="48">
      <c r="A48" s="74" t="s">
        <v>299</v>
      </c>
      <c r="B48" s="1">
        <v>60.0</v>
      </c>
    </row>
    <row r="49">
      <c r="A49" s="74" t="s">
        <v>300</v>
      </c>
      <c r="B49" s="1">
        <v>300.0</v>
      </c>
    </row>
    <row r="50">
      <c r="A50" s="74" t="s">
        <v>301</v>
      </c>
      <c r="B50" s="1">
        <v>230.0</v>
      </c>
    </row>
    <row r="51">
      <c r="A51" s="74" t="s">
        <v>302</v>
      </c>
      <c r="B51" s="1">
        <v>40.0</v>
      </c>
    </row>
    <row r="52">
      <c r="A52" s="74" t="s">
        <v>303</v>
      </c>
      <c r="B52" s="1">
        <v>570.0</v>
      </c>
    </row>
    <row r="53">
      <c r="A53" s="74" t="s">
        <v>305</v>
      </c>
      <c r="B53" s="1">
        <v>40.0</v>
      </c>
      <c r="F53" s="1"/>
    </row>
    <row r="54">
      <c r="A54" s="74" t="s">
        <v>307</v>
      </c>
      <c r="B54" s="1">
        <v>340.0</v>
      </c>
    </row>
    <row r="55" ht="16.5" customHeight="1">
      <c r="A55" s="74" t="s">
        <v>308</v>
      </c>
      <c r="B55" s="1">
        <v>1870.0</v>
      </c>
    </row>
    <row r="56">
      <c r="A56" s="1" t="s">
        <v>309</v>
      </c>
      <c r="B56" s="1">
        <v>380.0</v>
      </c>
    </row>
    <row r="57">
      <c r="A57" s="74"/>
    </row>
    <row r="58">
      <c r="A58" s="74"/>
      <c r="B58" s="1"/>
    </row>
    <row r="59">
      <c r="A59" s="74" t="s">
        <v>310</v>
      </c>
      <c r="B59" s="1">
        <v>40.0</v>
      </c>
    </row>
    <row r="60">
      <c r="A60" s="74"/>
    </row>
    <row r="61">
      <c r="A61" s="74"/>
    </row>
    <row r="62">
      <c r="A62" s="74" t="s">
        <v>314</v>
      </c>
      <c r="B62" s="1">
        <v>190.0</v>
      </c>
    </row>
    <row r="63">
      <c r="A63" s="74"/>
    </row>
    <row r="64">
      <c r="A64" s="1" t="s">
        <v>318</v>
      </c>
      <c r="B64" s="1">
        <v>187.0</v>
      </c>
    </row>
    <row r="65">
      <c r="A65" s="74" t="s">
        <v>321</v>
      </c>
      <c r="B65" s="1">
        <v>50.0</v>
      </c>
    </row>
    <row r="66">
      <c r="A66" s="54" t="s">
        <v>323</v>
      </c>
      <c r="B66" s="1">
        <v>80.0</v>
      </c>
    </row>
    <row r="67">
      <c r="A67" s="74" t="s">
        <v>326</v>
      </c>
      <c r="B67" s="1">
        <v>70.0</v>
      </c>
    </row>
    <row r="68">
      <c r="A68" s="74" t="s">
        <v>329</v>
      </c>
      <c r="B68" s="1">
        <v>80.0</v>
      </c>
    </row>
    <row r="69">
      <c r="A69" s="74"/>
    </row>
    <row r="70">
      <c r="A70" s="74"/>
    </row>
    <row r="71">
      <c r="A71" s="54"/>
    </row>
    <row r="72">
      <c r="A72" s="74"/>
    </row>
    <row r="73">
      <c r="A73" s="54"/>
    </row>
    <row r="77">
      <c r="A77" s="1"/>
      <c r="B77" s="1"/>
    </row>
    <row r="78">
      <c r="C78" s="1"/>
    </row>
    <row r="79">
      <c r="A79" s="54"/>
      <c r="B79" s="1"/>
      <c r="C79" s="1"/>
    </row>
    <row r="80">
      <c r="A80" s="1"/>
      <c r="B80" s="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13"/>
    <col customWidth="1" min="2" max="2" width="19.63"/>
    <col customWidth="1" min="3" max="3" width="21.38"/>
    <col customWidth="1" min="4" max="4" width="33.0"/>
    <col customWidth="1" min="5" max="5" width="24.13"/>
    <col customWidth="1" min="6" max="6" width="17.88"/>
  </cols>
  <sheetData>
    <row r="1">
      <c r="A1" s="54" t="s">
        <v>304</v>
      </c>
      <c r="B1" s="1">
        <v>33.0</v>
      </c>
    </row>
    <row r="2">
      <c r="A2" s="54" t="s">
        <v>306</v>
      </c>
      <c r="B2" s="1">
        <v>31.0</v>
      </c>
    </row>
    <row r="3">
      <c r="A3" s="1" t="s">
        <v>311</v>
      </c>
      <c r="B3" s="1">
        <v>16.0</v>
      </c>
    </row>
    <row r="4">
      <c r="A4" s="54" t="s">
        <v>312</v>
      </c>
      <c r="B4" s="1">
        <v>50.0</v>
      </c>
    </row>
    <row r="5">
      <c r="A5" s="54" t="s">
        <v>313</v>
      </c>
      <c r="B5" s="1">
        <v>50.0</v>
      </c>
    </row>
    <row r="6">
      <c r="D6" s="54"/>
      <c r="E6" s="54"/>
    </row>
    <row r="7">
      <c r="A7" s="54" t="s">
        <v>315</v>
      </c>
      <c r="B7" s="1">
        <v>24.0</v>
      </c>
    </row>
    <row r="8">
      <c r="A8" s="54" t="s">
        <v>316</v>
      </c>
      <c r="B8" s="1">
        <v>25.0</v>
      </c>
    </row>
    <row r="9">
      <c r="A9" s="54" t="s">
        <v>317</v>
      </c>
      <c r="B9" s="1">
        <v>50.0</v>
      </c>
    </row>
    <row r="10">
      <c r="A10" s="54" t="s">
        <v>319</v>
      </c>
      <c r="B10" s="1">
        <v>83.0</v>
      </c>
    </row>
    <row r="11">
      <c r="A11" s="54" t="s">
        <v>320</v>
      </c>
      <c r="B11" s="1">
        <v>12.0</v>
      </c>
      <c r="D11" s="1"/>
      <c r="E11" s="1"/>
    </row>
    <row r="12">
      <c r="A12" s="1" t="s">
        <v>322</v>
      </c>
      <c r="B12" s="1">
        <v>29.0</v>
      </c>
    </row>
    <row r="13">
      <c r="A13" s="54" t="s">
        <v>324</v>
      </c>
      <c r="B13" s="1">
        <v>75.0</v>
      </c>
    </row>
    <row r="14">
      <c r="A14" s="1" t="s">
        <v>325</v>
      </c>
      <c r="B14" s="54">
        <v>84.0</v>
      </c>
    </row>
    <row r="15">
      <c r="A15" s="54" t="s">
        <v>327</v>
      </c>
      <c r="B15" s="54">
        <v>159.0</v>
      </c>
    </row>
    <row r="16">
      <c r="A16" s="54" t="s">
        <v>328</v>
      </c>
      <c r="B16" s="1">
        <v>40.0</v>
      </c>
    </row>
    <row r="17">
      <c r="A17" s="54" t="s">
        <v>330</v>
      </c>
      <c r="B17" s="1">
        <v>30.0</v>
      </c>
    </row>
    <row r="18">
      <c r="A18" s="1" t="s">
        <v>331</v>
      </c>
      <c r="B18" s="1">
        <v>30.0</v>
      </c>
    </row>
    <row r="19">
      <c r="A19" s="54" t="s">
        <v>332</v>
      </c>
      <c r="B19" s="1">
        <v>40.0</v>
      </c>
    </row>
    <row r="20">
      <c r="A20" s="54" t="s">
        <v>333</v>
      </c>
      <c r="B20" s="1">
        <v>30.0</v>
      </c>
    </row>
    <row r="21">
      <c r="A21" s="54" t="s">
        <v>334</v>
      </c>
      <c r="B21" s="1">
        <v>10.0</v>
      </c>
    </row>
    <row r="22">
      <c r="B22" s="54"/>
    </row>
    <row r="23">
      <c r="A23" s="54"/>
    </row>
    <row r="24">
      <c r="A24" s="54"/>
    </row>
    <row r="25">
      <c r="A25" s="54"/>
      <c r="B25" s="54"/>
    </row>
    <row r="26">
      <c r="A26" s="54"/>
      <c r="D26" s="54"/>
      <c r="E26" s="54"/>
    </row>
    <row r="27">
      <c r="D27" s="54"/>
      <c r="E27" s="54"/>
    </row>
    <row r="28">
      <c r="E28" s="54"/>
    </row>
    <row r="30">
      <c r="A30" s="54"/>
    </row>
    <row r="31">
      <c r="B31" s="5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23.5"/>
    <col customWidth="1" min="3" max="3" width="28.63"/>
    <col customWidth="1" min="4" max="4" width="11.5"/>
    <col customWidth="1" min="5" max="5" width="21.63"/>
    <col customWidth="1" min="6" max="6" width="13.0"/>
    <col customWidth="1" min="7" max="7" width="21.5"/>
  </cols>
  <sheetData>
    <row r="1">
      <c r="B1" s="13"/>
      <c r="C1" s="16"/>
      <c r="D1" s="16"/>
    </row>
    <row r="2">
      <c r="A2" s="16" t="s">
        <v>335</v>
      </c>
      <c r="B2" s="75">
        <v>150.0</v>
      </c>
      <c r="C2" s="16"/>
      <c r="D2" s="16"/>
    </row>
    <row r="3">
      <c r="A3" s="1" t="s">
        <v>336</v>
      </c>
      <c r="B3" s="13">
        <v>26.0</v>
      </c>
      <c r="C3" s="16"/>
      <c r="D3" s="16"/>
      <c r="E3" s="1"/>
      <c r="F3" s="1"/>
    </row>
    <row r="4">
      <c r="A4" s="1" t="s">
        <v>337</v>
      </c>
      <c r="B4" s="13">
        <v>60.0</v>
      </c>
      <c r="C4" s="16"/>
      <c r="E4" s="1"/>
      <c r="F4" s="1"/>
    </row>
    <row r="5">
      <c r="A5" s="76" t="s">
        <v>338</v>
      </c>
      <c r="B5" s="13">
        <v>473.0</v>
      </c>
      <c r="C5" s="16"/>
    </row>
    <row r="6">
      <c r="A6" s="1" t="s">
        <v>339</v>
      </c>
      <c r="B6" s="13">
        <v>115.0</v>
      </c>
      <c r="E6" s="16"/>
      <c r="F6" s="1"/>
    </row>
    <row r="7">
      <c r="A7" s="1" t="s">
        <v>340</v>
      </c>
      <c r="B7" s="13">
        <v>217.0</v>
      </c>
    </row>
    <row r="8">
      <c r="A8" s="1" t="s">
        <v>341</v>
      </c>
      <c r="B8" s="13">
        <v>100.0</v>
      </c>
    </row>
    <row r="9">
      <c r="A9" s="76" t="s">
        <v>342</v>
      </c>
      <c r="B9" s="13">
        <v>30.0</v>
      </c>
    </row>
    <row r="10">
      <c r="A10" s="1" t="s">
        <v>343</v>
      </c>
      <c r="B10" s="13">
        <v>310.0</v>
      </c>
    </row>
    <row r="11">
      <c r="A11" s="1" t="s">
        <v>344</v>
      </c>
      <c r="B11" s="13">
        <v>220.0</v>
      </c>
    </row>
    <row r="12">
      <c r="A12" s="76" t="s">
        <v>345</v>
      </c>
      <c r="B12" s="13">
        <v>130.0</v>
      </c>
    </row>
    <row r="13">
      <c r="A13" s="16" t="s">
        <v>346</v>
      </c>
      <c r="B13" s="13">
        <v>150.0</v>
      </c>
      <c r="C13" s="1"/>
    </row>
    <row r="14">
      <c r="A14" s="16" t="s">
        <v>347</v>
      </c>
      <c r="B14" s="13">
        <v>70.0</v>
      </c>
      <c r="C14" s="5"/>
      <c r="D14" s="10"/>
    </row>
    <row r="15">
      <c r="A15" s="16" t="s">
        <v>348</v>
      </c>
      <c r="B15" s="13">
        <v>100.0</v>
      </c>
      <c r="D15" s="16"/>
    </row>
    <row r="16">
      <c r="A16" s="16" t="s">
        <v>349</v>
      </c>
      <c r="B16" s="13">
        <v>87.0</v>
      </c>
    </row>
    <row r="17">
      <c r="A17" s="16" t="s">
        <v>350</v>
      </c>
      <c r="B17" s="13">
        <v>220.0</v>
      </c>
    </row>
    <row r="18">
      <c r="A18" s="1" t="s">
        <v>351</v>
      </c>
      <c r="B18" s="13">
        <v>130.0</v>
      </c>
      <c r="C18" s="5"/>
      <c r="D18" s="10"/>
    </row>
    <row r="19">
      <c r="A19" s="1" t="s">
        <v>352</v>
      </c>
      <c r="B19" s="13">
        <v>150.0</v>
      </c>
    </row>
    <row r="20">
      <c r="A20" s="16"/>
      <c r="B20" s="13"/>
    </row>
    <row r="21">
      <c r="A21" s="16" t="s">
        <v>353</v>
      </c>
      <c r="B21" s="13">
        <v>40.0</v>
      </c>
    </row>
    <row r="22">
      <c r="A22" s="1" t="s">
        <v>355</v>
      </c>
      <c r="B22" s="13">
        <v>91.0</v>
      </c>
    </row>
    <row r="23">
      <c r="A23" s="1" t="s">
        <v>357</v>
      </c>
      <c r="B23" s="13">
        <v>20.0</v>
      </c>
    </row>
    <row r="24">
      <c r="A24" s="16" t="s">
        <v>358</v>
      </c>
      <c r="B24" s="13">
        <v>34.0</v>
      </c>
    </row>
    <row r="25">
      <c r="A25" s="16" t="s">
        <v>360</v>
      </c>
      <c r="B25" s="13">
        <v>60.0</v>
      </c>
    </row>
    <row r="26">
      <c r="A26" s="16"/>
      <c r="B26" s="13"/>
    </row>
    <row r="27">
      <c r="A27" s="1" t="s">
        <v>363</v>
      </c>
      <c r="B27" s="13">
        <v>377.0</v>
      </c>
      <c r="E27" s="1"/>
      <c r="F27" s="1"/>
    </row>
    <row r="28">
      <c r="A28" s="1" t="s">
        <v>365</v>
      </c>
      <c r="B28" s="13">
        <v>340.0</v>
      </c>
    </row>
    <row r="29">
      <c r="A29" s="1" t="s">
        <v>366</v>
      </c>
      <c r="B29" s="13">
        <v>60.0</v>
      </c>
    </row>
    <row r="30">
      <c r="A30" s="1" t="s">
        <v>368</v>
      </c>
      <c r="B30" s="13">
        <v>54.0</v>
      </c>
    </row>
    <row r="31">
      <c r="A31" s="1" t="s">
        <v>370</v>
      </c>
      <c r="B31" s="13">
        <v>17.0</v>
      </c>
    </row>
    <row r="32">
      <c r="A32" s="1" t="s">
        <v>372</v>
      </c>
      <c r="B32" s="13">
        <v>83.0</v>
      </c>
    </row>
    <row r="33">
      <c r="A33" s="1"/>
      <c r="B33" s="13"/>
    </row>
    <row r="34">
      <c r="A34" s="1" t="s">
        <v>374</v>
      </c>
      <c r="B34" s="13">
        <v>50.0</v>
      </c>
    </row>
    <row r="35">
      <c r="A35" s="1" t="s">
        <v>376</v>
      </c>
      <c r="B35" s="13">
        <v>10.0</v>
      </c>
    </row>
    <row r="36">
      <c r="A36" s="16"/>
      <c r="B36" s="13"/>
    </row>
    <row r="37">
      <c r="A37" s="16" t="s">
        <v>379</v>
      </c>
      <c r="B37" s="13">
        <v>140.0</v>
      </c>
    </row>
    <row r="38">
      <c r="A38" s="1" t="s">
        <v>381</v>
      </c>
      <c r="B38" s="13">
        <v>275.0</v>
      </c>
    </row>
    <row r="39">
      <c r="B39" s="13"/>
    </row>
    <row r="40">
      <c r="A40" s="76"/>
      <c r="B40" s="13"/>
    </row>
    <row r="41">
      <c r="A41" s="16"/>
      <c r="B41" s="77"/>
    </row>
    <row r="42">
      <c r="A42" s="16"/>
      <c r="B42" s="13"/>
      <c r="C42" s="16"/>
    </row>
    <row r="43">
      <c r="B43" s="13"/>
    </row>
    <row r="44">
      <c r="B44" s="13"/>
    </row>
    <row r="45">
      <c r="B45" s="13"/>
    </row>
    <row r="46">
      <c r="B46" s="13"/>
    </row>
    <row r="47">
      <c r="B47" s="13"/>
    </row>
    <row r="48">
      <c r="B48" s="13"/>
    </row>
    <row r="49">
      <c r="B49" s="5"/>
    </row>
    <row r="50">
      <c r="A50" s="76"/>
      <c r="B50" s="13"/>
    </row>
    <row r="51">
      <c r="B51" s="13"/>
    </row>
    <row r="52">
      <c r="B52" s="13"/>
    </row>
    <row r="53">
      <c r="A53" s="78"/>
      <c r="B53" s="13"/>
    </row>
    <row r="54">
      <c r="A54" s="16"/>
      <c r="B54" s="13"/>
      <c r="C54" s="16"/>
      <c r="D54" s="16"/>
    </row>
    <row r="55">
      <c r="B55" s="13"/>
    </row>
    <row r="56">
      <c r="B56" s="13"/>
    </row>
    <row r="57">
      <c r="B57" s="13"/>
      <c r="C57" s="5"/>
      <c r="D57" s="10"/>
    </row>
    <row r="58">
      <c r="B58" s="13"/>
      <c r="C58" s="5"/>
      <c r="D58" s="10"/>
    </row>
    <row r="59">
      <c r="B59" s="13"/>
    </row>
    <row r="60">
      <c r="B60" s="13"/>
    </row>
    <row r="61">
      <c r="A61" s="1"/>
      <c r="B61" s="13"/>
    </row>
    <row r="62">
      <c r="B62" s="5"/>
    </row>
    <row r="63">
      <c r="A63" s="16"/>
      <c r="B63" s="5"/>
    </row>
    <row r="64">
      <c r="B64" s="5"/>
    </row>
    <row r="65">
      <c r="A65" s="1"/>
      <c r="B65" s="13"/>
    </row>
    <row r="66">
      <c r="B66" s="13"/>
    </row>
    <row r="67">
      <c r="A67" s="1"/>
      <c r="B67" s="13"/>
    </row>
    <row r="68">
      <c r="B68" s="5"/>
    </row>
    <row r="69">
      <c r="B69" s="5"/>
      <c r="C69" s="5"/>
      <c r="D69" s="10"/>
    </row>
    <row r="70">
      <c r="B70" s="5"/>
      <c r="C70" s="5"/>
      <c r="D70" s="10"/>
    </row>
    <row r="71">
      <c r="B71" s="5"/>
      <c r="C71" s="5"/>
      <c r="D71" s="10"/>
    </row>
    <row r="72">
      <c r="B72" s="5"/>
      <c r="C72" s="5"/>
      <c r="D72" s="10"/>
    </row>
    <row r="73">
      <c r="B73" s="5"/>
      <c r="C73" s="5"/>
      <c r="D73" s="10"/>
    </row>
    <row r="74">
      <c r="B74" s="5"/>
      <c r="C74" s="5"/>
      <c r="D74" s="10"/>
    </row>
    <row r="75">
      <c r="B75" s="13"/>
      <c r="C75" s="5"/>
      <c r="D75" s="10"/>
    </row>
    <row r="76">
      <c r="B76" s="13"/>
      <c r="C76" s="5"/>
      <c r="D76" s="10"/>
    </row>
    <row r="77">
      <c r="B77" s="5"/>
      <c r="C77" s="5"/>
      <c r="D77" s="10"/>
    </row>
    <row r="78">
      <c r="B78" s="13"/>
      <c r="C78" s="5"/>
      <c r="D78" s="10"/>
    </row>
    <row r="79">
      <c r="A79" s="5"/>
      <c r="B79" s="5"/>
      <c r="C79" s="5"/>
      <c r="D79" s="10"/>
    </row>
    <row r="80">
      <c r="A80" s="10"/>
      <c r="B80" s="5"/>
      <c r="C80" s="5"/>
      <c r="D80" s="10"/>
    </row>
    <row r="81">
      <c r="A81" s="10"/>
      <c r="B81" s="5"/>
      <c r="C81" s="5"/>
      <c r="D81" s="10"/>
    </row>
    <row r="82">
      <c r="A82" s="10"/>
      <c r="B82" s="5"/>
      <c r="C82" s="5"/>
      <c r="D82" s="10"/>
    </row>
    <row r="83">
      <c r="A83" s="10"/>
      <c r="B83" s="5"/>
      <c r="C83" s="5"/>
      <c r="D83" s="10"/>
    </row>
    <row r="84">
      <c r="A84" s="10"/>
      <c r="B84" s="5"/>
      <c r="C84" s="5"/>
      <c r="D84" s="10"/>
    </row>
    <row r="85">
      <c r="A85" s="10"/>
      <c r="B85" s="5"/>
      <c r="C85" s="5"/>
      <c r="D85" s="10"/>
    </row>
    <row r="86">
      <c r="A86" s="10"/>
      <c r="B86" s="5"/>
      <c r="C86" s="5"/>
      <c r="D86" s="10"/>
    </row>
    <row r="87">
      <c r="A87" s="10"/>
      <c r="B87" s="5"/>
      <c r="C87" s="5"/>
      <c r="D87" s="10"/>
    </row>
    <row r="88">
      <c r="A88" s="10"/>
      <c r="B88" s="5"/>
      <c r="C88" s="5"/>
      <c r="D88" s="10"/>
    </row>
    <row r="89">
      <c r="A89" s="10"/>
      <c r="B89" s="5"/>
      <c r="C89" s="5"/>
      <c r="D89" s="10"/>
    </row>
    <row r="90">
      <c r="A90" s="10"/>
      <c r="B90" s="5"/>
      <c r="C90" s="5"/>
      <c r="D90" s="10"/>
    </row>
    <row r="91">
      <c r="A91" s="10"/>
      <c r="B91" s="5"/>
      <c r="C91" s="5"/>
      <c r="D91" s="10"/>
    </row>
    <row r="92">
      <c r="A92" s="10"/>
      <c r="B92" s="5"/>
      <c r="C92" s="5"/>
      <c r="D92" s="10"/>
    </row>
    <row r="93">
      <c r="A93" s="10"/>
      <c r="B93" s="5"/>
      <c r="C93" s="5"/>
      <c r="D93" s="10"/>
    </row>
    <row r="94">
      <c r="A94" s="10"/>
      <c r="B94" s="5"/>
      <c r="C94" s="5"/>
      <c r="D94" s="10"/>
    </row>
    <row r="95">
      <c r="A95" s="10"/>
      <c r="B95" s="5"/>
      <c r="C95" s="5"/>
      <c r="D95" s="10"/>
    </row>
    <row r="96">
      <c r="A96" s="10"/>
      <c r="B96" s="5"/>
      <c r="C96" s="5"/>
      <c r="D96" s="10"/>
    </row>
    <row r="97">
      <c r="A97" s="10"/>
      <c r="B97" s="5"/>
      <c r="C97" s="5"/>
      <c r="D97" s="10"/>
    </row>
    <row r="98">
      <c r="A98" s="10"/>
      <c r="B98" s="5"/>
      <c r="C98" s="5"/>
      <c r="D98" s="10"/>
    </row>
    <row r="99">
      <c r="A99" s="10"/>
      <c r="B99" s="5"/>
      <c r="C99" s="5"/>
      <c r="D99" s="10"/>
    </row>
    <row r="100">
      <c r="A100" s="10"/>
      <c r="B100" s="5"/>
      <c r="C100" s="5"/>
      <c r="D100" s="10"/>
    </row>
    <row r="101">
      <c r="A101" s="10"/>
      <c r="B101" s="5"/>
      <c r="C101" s="5"/>
      <c r="D101" s="10"/>
    </row>
    <row r="102">
      <c r="A102" s="10"/>
      <c r="B102" s="5"/>
      <c r="C102" s="5"/>
      <c r="D102" s="10"/>
    </row>
    <row r="103">
      <c r="A103" s="10"/>
      <c r="B103" s="5"/>
      <c r="C103" s="5"/>
      <c r="D103" s="10"/>
    </row>
    <row r="104">
      <c r="A104" s="10"/>
      <c r="B104" s="5"/>
      <c r="C104" s="5"/>
      <c r="D104" s="10"/>
    </row>
    <row r="105">
      <c r="A105" s="10"/>
      <c r="B105" s="5"/>
      <c r="C105" s="5"/>
      <c r="D105" s="10"/>
    </row>
    <row r="106">
      <c r="A106" s="10"/>
      <c r="B106" s="5"/>
      <c r="C106" s="5"/>
      <c r="D106" s="10"/>
    </row>
    <row r="107">
      <c r="A107" s="10"/>
      <c r="B107" s="5"/>
      <c r="C107" s="5"/>
      <c r="D107" s="10"/>
    </row>
    <row r="108">
      <c r="A108" s="10"/>
      <c r="B108" s="5"/>
      <c r="C108" s="5"/>
      <c r="D108" s="10"/>
    </row>
    <row r="109">
      <c r="A109" s="10"/>
      <c r="B109" s="5"/>
      <c r="C109" s="5"/>
      <c r="D109" s="10"/>
    </row>
    <row r="110">
      <c r="A110" s="10"/>
      <c r="B110" s="5"/>
      <c r="C110" s="5"/>
      <c r="D110" s="10"/>
    </row>
    <row r="111">
      <c r="A111" s="10"/>
      <c r="B111" s="5"/>
      <c r="C111" s="5"/>
      <c r="D111" s="10"/>
    </row>
    <row r="112">
      <c r="A112" s="10"/>
      <c r="B112" s="5"/>
      <c r="C112" s="5"/>
      <c r="D112" s="10"/>
    </row>
    <row r="113">
      <c r="A113" s="10"/>
      <c r="B113" s="5"/>
      <c r="C113" s="5"/>
      <c r="D113" s="10"/>
    </row>
    <row r="114">
      <c r="A114" s="10"/>
      <c r="B114" s="5"/>
      <c r="C114" s="5"/>
      <c r="D114" s="10"/>
    </row>
    <row r="115">
      <c r="A115" s="10"/>
      <c r="B115" s="5"/>
      <c r="C115" s="5"/>
      <c r="D115" s="10"/>
    </row>
    <row r="116">
      <c r="A116" s="10"/>
      <c r="B116" s="5"/>
      <c r="C116" s="5"/>
      <c r="D116" s="10"/>
    </row>
    <row r="117">
      <c r="A117" s="10"/>
      <c r="B117" s="5"/>
      <c r="C117" s="5"/>
      <c r="D117" s="10"/>
    </row>
    <row r="118">
      <c r="A118" s="10"/>
      <c r="B118" s="5"/>
      <c r="C118" s="5"/>
      <c r="D118" s="10"/>
    </row>
    <row r="119">
      <c r="A119" s="10"/>
      <c r="B119" s="5"/>
      <c r="C119" s="5"/>
      <c r="D119" s="10"/>
    </row>
    <row r="120">
      <c r="A120" s="10"/>
      <c r="B120" s="5"/>
      <c r="C120" s="5"/>
      <c r="D120" s="10"/>
    </row>
    <row r="121">
      <c r="A121" s="10"/>
      <c r="B121" s="5"/>
      <c r="C121" s="5"/>
      <c r="D121" s="10"/>
    </row>
    <row r="122">
      <c r="A122" s="10"/>
      <c r="B122" s="5"/>
      <c r="C122" s="5"/>
      <c r="D122" s="10"/>
    </row>
    <row r="123">
      <c r="A123" s="10"/>
      <c r="B123" s="5"/>
      <c r="C123" s="5"/>
      <c r="D123" s="10"/>
    </row>
    <row r="124">
      <c r="A124" s="10"/>
      <c r="B124" s="5"/>
      <c r="C124" s="5"/>
      <c r="D124" s="10"/>
    </row>
    <row r="125">
      <c r="A125" s="10"/>
      <c r="B125" s="5"/>
      <c r="C125" s="5"/>
      <c r="D125" s="10"/>
    </row>
    <row r="126">
      <c r="A126" s="10"/>
      <c r="B126" s="5"/>
      <c r="C126" s="5"/>
      <c r="D126" s="10"/>
    </row>
    <row r="127">
      <c r="A127" s="10"/>
      <c r="B127" s="5"/>
      <c r="C127" s="5"/>
      <c r="D127" s="10"/>
    </row>
    <row r="128">
      <c r="A128" s="10"/>
      <c r="B128" s="5"/>
      <c r="C128" s="5"/>
      <c r="D128" s="10"/>
    </row>
    <row r="129">
      <c r="A129" s="10"/>
      <c r="B129" s="5"/>
      <c r="C129" s="5"/>
      <c r="D129" s="10"/>
    </row>
    <row r="130">
      <c r="A130" s="10"/>
      <c r="B130" s="5"/>
      <c r="C130" s="5"/>
      <c r="D130" s="10"/>
    </row>
    <row r="131">
      <c r="A131" s="10"/>
      <c r="B131" s="5"/>
      <c r="C131" s="5"/>
      <c r="D131" s="10"/>
    </row>
    <row r="132">
      <c r="A132" s="10"/>
      <c r="B132" s="5"/>
      <c r="C132" s="5"/>
      <c r="D132" s="10"/>
    </row>
    <row r="133">
      <c r="A133" s="10"/>
      <c r="B133" s="5"/>
      <c r="C133" s="5"/>
      <c r="D133" s="10"/>
    </row>
    <row r="134">
      <c r="A134" s="10"/>
      <c r="B134" s="5"/>
      <c r="C134" s="5"/>
      <c r="D134" s="10"/>
    </row>
    <row r="135">
      <c r="A135" s="10"/>
      <c r="B135" s="5"/>
      <c r="C135" s="5"/>
      <c r="D135" s="10"/>
    </row>
    <row r="136">
      <c r="A136" s="10"/>
      <c r="B136" s="5"/>
      <c r="C136" s="5"/>
      <c r="D136" s="10"/>
    </row>
    <row r="137">
      <c r="A137" s="10"/>
      <c r="B137" s="5"/>
      <c r="C137" s="5"/>
      <c r="D137" s="10"/>
    </row>
    <row r="138">
      <c r="A138" s="10"/>
      <c r="B138" s="5"/>
      <c r="C138" s="5"/>
      <c r="D138" s="10"/>
    </row>
    <row r="139">
      <c r="A139" s="10"/>
      <c r="B139" s="5"/>
      <c r="C139" s="5"/>
      <c r="D139" s="10"/>
    </row>
    <row r="140">
      <c r="A140" s="10"/>
      <c r="B140" s="5"/>
      <c r="C140" s="5"/>
      <c r="D140" s="10"/>
    </row>
    <row r="141">
      <c r="A141" s="10"/>
      <c r="B141" s="5"/>
      <c r="C141" s="5"/>
      <c r="D141" s="10"/>
    </row>
    <row r="142">
      <c r="A142" s="10"/>
      <c r="B142" s="5"/>
      <c r="C142" s="5"/>
      <c r="D142" s="10"/>
    </row>
    <row r="143">
      <c r="A143" s="10"/>
      <c r="B143" s="5"/>
      <c r="C143" s="5"/>
      <c r="D143" s="10"/>
    </row>
    <row r="144">
      <c r="A144" s="10"/>
      <c r="B144" s="5"/>
      <c r="C144" s="5"/>
      <c r="D144" s="10"/>
    </row>
    <row r="145">
      <c r="A145" s="10"/>
      <c r="B145" s="5"/>
      <c r="C145" s="5"/>
      <c r="D145" s="10"/>
    </row>
    <row r="146">
      <c r="A146" s="10"/>
      <c r="B146" s="5"/>
      <c r="C146" s="5"/>
      <c r="D146" s="10"/>
    </row>
    <row r="147">
      <c r="A147" s="10"/>
      <c r="B147" s="5"/>
      <c r="C147" s="5"/>
      <c r="D147" s="10"/>
    </row>
    <row r="148">
      <c r="A148" s="10"/>
      <c r="B148" s="5"/>
      <c r="C148" s="5"/>
      <c r="D148" s="10"/>
    </row>
    <row r="149">
      <c r="A149" s="10"/>
      <c r="B149" s="5"/>
      <c r="C149" s="5"/>
      <c r="D149" s="10"/>
    </row>
    <row r="150">
      <c r="A150" s="10"/>
      <c r="B150" s="5"/>
      <c r="C150" s="5"/>
      <c r="D150" s="10"/>
    </row>
    <row r="151">
      <c r="A151" s="10"/>
      <c r="B151" s="5"/>
      <c r="C151" s="5"/>
      <c r="D151" s="10"/>
    </row>
    <row r="152">
      <c r="A152" s="10"/>
      <c r="B152" s="5"/>
      <c r="C152" s="5"/>
      <c r="D152" s="10"/>
    </row>
    <row r="153">
      <c r="A153" s="10"/>
      <c r="B153" s="5"/>
      <c r="C153" s="5"/>
      <c r="D153" s="10"/>
    </row>
    <row r="154">
      <c r="A154" s="10"/>
      <c r="B154" s="5"/>
      <c r="C154" s="5"/>
      <c r="D154" s="10"/>
    </row>
    <row r="155">
      <c r="A155" s="10"/>
      <c r="B155" s="5"/>
      <c r="C155" s="5"/>
      <c r="D155" s="10"/>
    </row>
    <row r="156">
      <c r="A156" s="10"/>
      <c r="B156" s="5"/>
      <c r="C156" s="5"/>
      <c r="D156" s="10"/>
    </row>
    <row r="157">
      <c r="A157" s="10"/>
      <c r="B157" s="5"/>
      <c r="C157" s="5"/>
      <c r="D157" s="10"/>
    </row>
    <row r="158">
      <c r="A158" s="10"/>
      <c r="B158" s="5"/>
      <c r="C158" s="5"/>
      <c r="D158" s="10"/>
    </row>
    <row r="159">
      <c r="A159" s="10"/>
      <c r="B159" s="5"/>
      <c r="C159" s="5"/>
      <c r="D159" s="10"/>
    </row>
    <row r="160">
      <c r="A160" s="10"/>
      <c r="B160" s="5"/>
      <c r="C160" s="5"/>
      <c r="D160" s="10"/>
    </row>
    <row r="161">
      <c r="A161" s="10"/>
      <c r="B161" s="5"/>
      <c r="C161" s="5"/>
      <c r="D161" s="10"/>
    </row>
    <row r="162">
      <c r="A162" s="10"/>
      <c r="B162" s="5"/>
      <c r="C162" s="5"/>
      <c r="D162" s="10"/>
    </row>
    <row r="163">
      <c r="A163" s="10"/>
      <c r="B163" s="5"/>
      <c r="C163" s="5"/>
      <c r="D163" s="10"/>
    </row>
    <row r="164">
      <c r="A164" s="10"/>
      <c r="B164" s="5"/>
      <c r="C164" s="5"/>
      <c r="D164" s="10"/>
    </row>
    <row r="165">
      <c r="A165" s="10"/>
      <c r="B165" s="5"/>
      <c r="C165" s="5"/>
      <c r="D165" s="10"/>
    </row>
    <row r="166">
      <c r="A166" s="10"/>
      <c r="B166" s="5"/>
      <c r="C166" s="5"/>
      <c r="D166" s="10"/>
    </row>
    <row r="167">
      <c r="A167" s="10"/>
      <c r="B167" s="5"/>
      <c r="C167" s="5"/>
      <c r="D167" s="10"/>
    </row>
    <row r="168">
      <c r="A168" s="10"/>
      <c r="B168" s="5"/>
      <c r="C168" s="5"/>
      <c r="D168" s="10"/>
    </row>
    <row r="169">
      <c r="A169" s="10"/>
      <c r="B169" s="5"/>
      <c r="C169" s="5"/>
      <c r="D169" s="10"/>
    </row>
    <row r="170">
      <c r="A170" s="10"/>
      <c r="B170" s="5"/>
      <c r="C170" s="5"/>
      <c r="D170" s="10"/>
    </row>
    <row r="171">
      <c r="A171" s="10"/>
      <c r="B171" s="5"/>
      <c r="C171" s="5"/>
      <c r="D171" s="10"/>
    </row>
    <row r="172">
      <c r="A172" s="10"/>
      <c r="B172" s="5"/>
      <c r="C172" s="5"/>
      <c r="D172" s="10"/>
    </row>
    <row r="173">
      <c r="A173" s="10"/>
      <c r="B173" s="5"/>
      <c r="C173" s="5"/>
      <c r="D173" s="10"/>
    </row>
    <row r="174">
      <c r="A174" s="10"/>
      <c r="B174" s="5"/>
      <c r="C174" s="5"/>
      <c r="D174" s="10"/>
    </row>
    <row r="175">
      <c r="A175" s="10"/>
      <c r="B175" s="5"/>
      <c r="C175" s="5"/>
      <c r="D175" s="10"/>
    </row>
    <row r="176">
      <c r="A176" s="10"/>
      <c r="B176" s="5"/>
      <c r="C176" s="5"/>
      <c r="D176" s="10"/>
    </row>
    <row r="177">
      <c r="A177" s="10"/>
      <c r="B177" s="5"/>
      <c r="C177" s="5"/>
      <c r="D177" s="10"/>
    </row>
    <row r="178">
      <c r="A178" s="10"/>
      <c r="B178" s="5"/>
      <c r="C178" s="5"/>
      <c r="D178" s="10"/>
    </row>
    <row r="179">
      <c r="A179" s="10"/>
      <c r="B179" s="5"/>
      <c r="C179" s="5"/>
      <c r="D179" s="10"/>
    </row>
    <row r="180">
      <c r="A180" s="10"/>
      <c r="B180" s="5"/>
      <c r="C180" s="5"/>
      <c r="D180" s="10"/>
    </row>
    <row r="181">
      <c r="A181" s="10"/>
      <c r="B181" s="5"/>
      <c r="C181" s="5"/>
      <c r="D181" s="10"/>
    </row>
    <row r="182">
      <c r="A182" s="10"/>
      <c r="B182" s="5"/>
      <c r="C182" s="5"/>
      <c r="D182" s="10"/>
    </row>
    <row r="183">
      <c r="A183" s="10"/>
      <c r="B183" s="5"/>
      <c r="C183" s="5"/>
      <c r="D183" s="10"/>
    </row>
    <row r="184">
      <c r="A184" s="10"/>
      <c r="B184" s="5"/>
      <c r="C184" s="5"/>
      <c r="D184" s="10"/>
    </row>
    <row r="185">
      <c r="A185" s="10"/>
      <c r="B185" s="5"/>
      <c r="C185" s="5"/>
      <c r="D185" s="10"/>
    </row>
    <row r="186">
      <c r="A186" s="10"/>
      <c r="B186" s="5"/>
      <c r="C186" s="5"/>
      <c r="D186" s="10"/>
    </row>
    <row r="187">
      <c r="A187" s="10"/>
      <c r="B187" s="5"/>
      <c r="C187" s="5"/>
      <c r="D187" s="10"/>
    </row>
    <row r="188">
      <c r="A188" s="10"/>
      <c r="B188" s="5"/>
      <c r="C188" s="5"/>
      <c r="D188" s="10"/>
    </row>
    <row r="189">
      <c r="A189" s="10"/>
      <c r="B189" s="5"/>
      <c r="C189" s="5"/>
      <c r="D189" s="10"/>
    </row>
    <row r="190">
      <c r="A190" s="10"/>
      <c r="B190" s="5"/>
      <c r="C190" s="5"/>
      <c r="D190" s="10"/>
    </row>
    <row r="191">
      <c r="A191" s="10"/>
      <c r="B191" s="5"/>
      <c r="C191" s="5"/>
      <c r="D191" s="10"/>
    </row>
    <row r="192">
      <c r="A192" s="10"/>
      <c r="B192" s="5"/>
      <c r="C192" s="5"/>
      <c r="D192" s="10"/>
    </row>
    <row r="193">
      <c r="A193" s="10"/>
      <c r="B193" s="5"/>
      <c r="C193" s="5"/>
      <c r="D193" s="10"/>
    </row>
    <row r="194">
      <c r="A194" s="10"/>
      <c r="B194" s="5"/>
      <c r="C194" s="5"/>
      <c r="D194" s="10"/>
    </row>
    <row r="195">
      <c r="A195" s="10"/>
      <c r="B195" s="5"/>
      <c r="C195" s="5"/>
      <c r="D195" s="10"/>
    </row>
    <row r="196">
      <c r="A196" s="10"/>
      <c r="B196" s="5"/>
      <c r="C196" s="5"/>
      <c r="D196" s="10"/>
    </row>
    <row r="197">
      <c r="A197" s="10"/>
      <c r="B197" s="5"/>
      <c r="C197" s="5"/>
      <c r="D197" s="10"/>
    </row>
    <row r="198">
      <c r="A198" s="10"/>
      <c r="B198" s="5"/>
      <c r="C198" s="5"/>
      <c r="D198" s="10"/>
    </row>
    <row r="199">
      <c r="A199" s="10"/>
      <c r="B199" s="5"/>
      <c r="C199" s="5"/>
      <c r="D199" s="10"/>
    </row>
    <row r="200">
      <c r="A200" s="10"/>
      <c r="B200" s="5"/>
      <c r="C200" s="5"/>
      <c r="D200" s="10"/>
    </row>
    <row r="201">
      <c r="A201" s="10"/>
      <c r="B201" s="5"/>
      <c r="C201" s="5"/>
      <c r="D201" s="10"/>
    </row>
    <row r="202">
      <c r="A202" s="10"/>
      <c r="B202" s="5"/>
      <c r="C202" s="5"/>
      <c r="D202" s="10"/>
    </row>
    <row r="203">
      <c r="A203" s="10"/>
      <c r="B203" s="5"/>
      <c r="C203" s="5"/>
      <c r="D203" s="10"/>
    </row>
    <row r="204">
      <c r="A204" s="10"/>
      <c r="B204" s="5"/>
      <c r="C204" s="5"/>
      <c r="D204" s="10"/>
    </row>
    <row r="205">
      <c r="A205" s="10"/>
      <c r="B205" s="5"/>
      <c r="C205" s="5"/>
      <c r="D205" s="10"/>
    </row>
    <row r="206">
      <c r="A206" s="10"/>
      <c r="B206" s="5"/>
      <c r="C206" s="5"/>
      <c r="D206" s="10"/>
    </row>
    <row r="207">
      <c r="A207" s="10"/>
      <c r="B207" s="5"/>
      <c r="C207" s="5"/>
      <c r="D207" s="10"/>
    </row>
    <row r="208">
      <c r="A208" s="10"/>
      <c r="B208" s="5"/>
      <c r="C208" s="5"/>
      <c r="D208" s="10"/>
    </row>
    <row r="209">
      <c r="A209" s="10"/>
      <c r="B209" s="5"/>
      <c r="C209" s="5"/>
      <c r="D209" s="10"/>
    </row>
    <row r="210">
      <c r="A210" s="10"/>
      <c r="B210" s="5"/>
      <c r="C210" s="5"/>
      <c r="D210" s="10"/>
    </row>
    <row r="211">
      <c r="A211" s="10"/>
      <c r="B211" s="5"/>
      <c r="C211" s="5"/>
      <c r="D211" s="10"/>
    </row>
    <row r="212">
      <c r="A212" s="10"/>
      <c r="B212" s="5"/>
      <c r="C212" s="5"/>
      <c r="D212" s="10"/>
    </row>
    <row r="213">
      <c r="A213" s="10"/>
      <c r="B213" s="5"/>
      <c r="C213" s="5"/>
      <c r="D213" s="10"/>
    </row>
    <row r="214">
      <c r="A214" s="10"/>
      <c r="B214" s="5"/>
      <c r="C214" s="5"/>
      <c r="D214" s="10"/>
    </row>
    <row r="215">
      <c r="A215" s="10"/>
      <c r="B215" s="5"/>
      <c r="C215" s="5"/>
      <c r="D215" s="10"/>
    </row>
    <row r="216">
      <c r="A216" s="10"/>
      <c r="B216" s="5"/>
      <c r="C216" s="5"/>
      <c r="D216" s="10"/>
    </row>
    <row r="217">
      <c r="A217" s="10"/>
      <c r="B217" s="5"/>
      <c r="C217" s="5"/>
      <c r="D217" s="10"/>
    </row>
    <row r="218">
      <c r="A218" s="10"/>
      <c r="B218" s="5"/>
      <c r="C218" s="5"/>
      <c r="D218" s="10"/>
    </row>
    <row r="219">
      <c r="A219" s="10"/>
      <c r="B219" s="5"/>
      <c r="C219" s="5"/>
      <c r="D219" s="10"/>
    </row>
    <row r="220">
      <c r="A220" s="10"/>
      <c r="B220" s="5"/>
      <c r="C220" s="5"/>
      <c r="D220" s="10"/>
    </row>
    <row r="221">
      <c r="A221" s="10"/>
      <c r="B221" s="5"/>
      <c r="C221" s="5"/>
      <c r="D221" s="10"/>
    </row>
    <row r="222">
      <c r="A222" s="10"/>
      <c r="B222" s="5"/>
      <c r="C222" s="5"/>
      <c r="D222" s="10"/>
    </row>
    <row r="223">
      <c r="A223" s="10"/>
      <c r="B223" s="5"/>
      <c r="C223" s="5"/>
      <c r="D223" s="10"/>
    </row>
    <row r="224">
      <c r="A224" s="10"/>
      <c r="B224" s="5"/>
      <c r="C224" s="5"/>
      <c r="D224" s="10"/>
    </row>
    <row r="225">
      <c r="A225" s="10"/>
      <c r="B225" s="5"/>
      <c r="C225" s="5"/>
      <c r="D225" s="10"/>
    </row>
    <row r="226">
      <c r="A226" s="10"/>
      <c r="B226" s="5"/>
      <c r="C226" s="5"/>
      <c r="D226" s="10"/>
    </row>
    <row r="227">
      <c r="A227" s="10"/>
      <c r="B227" s="5"/>
      <c r="C227" s="5"/>
      <c r="D227" s="10"/>
    </row>
    <row r="228">
      <c r="A228" s="10"/>
      <c r="B228" s="5"/>
      <c r="C228" s="5"/>
      <c r="D228" s="10"/>
    </row>
    <row r="229">
      <c r="A229" s="10"/>
      <c r="B229" s="5"/>
      <c r="C229" s="5"/>
      <c r="D229" s="10"/>
    </row>
    <row r="230">
      <c r="A230" s="10"/>
      <c r="B230" s="5"/>
      <c r="C230" s="5"/>
      <c r="D230" s="10"/>
    </row>
    <row r="231">
      <c r="A231" s="10"/>
      <c r="B231" s="5"/>
      <c r="C231" s="5"/>
      <c r="D231" s="10"/>
    </row>
    <row r="232">
      <c r="A232" s="10"/>
      <c r="B232" s="5"/>
      <c r="C232" s="5"/>
      <c r="D232" s="10"/>
    </row>
    <row r="233">
      <c r="A233" s="10"/>
      <c r="B233" s="5"/>
      <c r="C233" s="5"/>
      <c r="D233" s="10"/>
    </row>
    <row r="234">
      <c r="A234" s="10"/>
      <c r="B234" s="5"/>
      <c r="C234" s="5"/>
      <c r="D234" s="10"/>
    </row>
    <row r="235">
      <c r="A235" s="10"/>
      <c r="B235" s="5"/>
      <c r="C235" s="5"/>
      <c r="D235" s="10"/>
    </row>
    <row r="236">
      <c r="A236" s="10"/>
      <c r="B236" s="5"/>
      <c r="C236" s="5"/>
      <c r="D236" s="10"/>
    </row>
    <row r="237">
      <c r="A237" s="10"/>
      <c r="B237" s="5"/>
      <c r="C237" s="5"/>
      <c r="D237" s="10"/>
    </row>
    <row r="238">
      <c r="A238" s="10"/>
      <c r="B238" s="5"/>
      <c r="C238" s="5"/>
      <c r="D238" s="10"/>
    </row>
    <row r="239">
      <c r="A239" s="10"/>
      <c r="B239" s="5"/>
      <c r="C239" s="5"/>
      <c r="D239" s="10"/>
    </row>
    <row r="240">
      <c r="A240" s="10"/>
      <c r="B240" s="5"/>
      <c r="C240" s="5"/>
      <c r="D240" s="10"/>
    </row>
    <row r="241">
      <c r="A241" s="10"/>
      <c r="B241" s="5"/>
      <c r="C241" s="5"/>
      <c r="D241" s="10"/>
    </row>
    <row r="242">
      <c r="A242" s="10"/>
      <c r="B242" s="5"/>
      <c r="C242" s="5"/>
      <c r="D242" s="10"/>
    </row>
    <row r="243">
      <c r="A243" s="10"/>
      <c r="B243" s="5"/>
      <c r="C243" s="5"/>
      <c r="D243" s="10"/>
    </row>
    <row r="244">
      <c r="A244" s="10"/>
      <c r="B244" s="5"/>
      <c r="C244" s="5"/>
      <c r="D244" s="10"/>
    </row>
    <row r="245">
      <c r="A245" s="10"/>
      <c r="B245" s="5"/>
      <c r="C245" s="5"/>
      <c r="D245" s="10"/>
    </row>
    <row r="246">
      <c r="A246" s="10"/>
      <c r="B246" s="5"/>
      <c r="C246" s="5"/>
      <c r="D246" s="10"/>
    </row>
    <row r="247">
      <c r="A247" s="10"/>
      <c r="B247" s="5"/>
      <c r="C247" s="5"/>
      <c r="D247" s="10"/>
    </row>
    <row r="248">
      <c r="A248" s="10"/>
      <c r="B248" s="5"/>
      <c r="C248" s="5"/>
      <c r="D248" s="10"/>
    </row>
    <row r="249">
      <c r="A249" s="10"/>
      <c r="B249" s="5"/>
      <c r="C249" s="5"/>
      <c r="D249" s="10"/>
    </row>
    <row r="250">
      <c r="A250" s="10"/>
      <c r="B250" s="5"/>
      <c r="C250" s="5"/>
      <c r="D250" s="10"/>
    </row>
    <row r="251">
      <c r="A251" s="10"/>
      <c r="B251" s="5"/>
      <c r="C251" s="5"/>
      <c r="D251" s="10"/>
    </row>
    <row r="252">
      <c r="A252" s="10"/>
      <c r="B252" s="5"/>
      <c r="C252" s="5"/>
      <c r="D252" s="10"/>
    </row>
    <row r="253">
      <c r="A253" s="10"/>
      <c r="B253" s="5"/>
      <c r="C253" s="5"/>
      <c r="D253" s="10"/>
    </row>
    <row r="254">
      <c r="A254" s="10"/>
      <c r="B254" s="5"/>
      <c r="C254" s="5"/>
      <c r="D254" s="10"/>
    </row>
    <row r="255">
      <c r="A255" s="10"/>
      <c r="B255" s="5"/>
      <c r="C255" s="5"/>
      <c r="D255" s="10"/>
    </row>
    <row r="256">
      <c r="A256" s="10"/>
      <c r="B256" s="5"/>
      <c r="C256" s="5"/>
      <c r="D256" s="10"/>
    </row>
    <row r="257">
      <c r="A257" s="10"/>
      <c r="B257" s="5"/>
      <c r="C257" s="5"/>
      <c r="D257" s="10"/>
    </row>
    <row r="258">
      <c r="A258" s="10"/>
      <c r="B258" s="5"/>
      <c r="C258" s="5"/>
      <c r="D258" s="10"/>
    </row>
    <row r="259">
      <c r="A259" s="10"/>
      <c r="B259" s="5"/>
      <c r="C259" s="5"/>
      <c r="D259" s="10"/>
    </row>
    <row r="260">
      <c r="A260" s="10"/>
      <c r="B260" s="5"/>
      <c r="C260" s="5"/>
      <c r="D260" s="10"/>
    </row>
    <row r="261">
      <c r="A261" s="10"/>
      <c r="B261" s="5"/>
      <c r="C261" s="5"/>
      <c r="D261" s="10"/>
    </row>
    <row r="262">
      <c r="A262" s="10"/>
      <c r="B262" s="5"/>
      <c r="C262" s="5"/>
      <c r="D262" s="10"/>
    </row>
    <row r="263">
      <c r="A263" s="10"/>
      <c r="B263" s="5"/>
      <c r="C263" s="5"/>
      <c r="D263" s="10"/>
    </row>
    <row r="264">
      <c r="A264" s="10"/>
      <c r="B264" s="5"/>
      <c r="C264" s="5"/>
      <c r="D264" s="10"/>
    </row>
    <row r="265">
      <c r="A265" s="10"/>
      <c r="B265" s="5"/>
      <c r="C265" s="5"/>
      <c r="D265" s="10"/>
    </row>
    <row r="266">
      <c r="A266" s="10"/>
      <c r="B266" s="5"/>
      <c r="C266" s="5"/>
      <c r="D266" s="10"/>
    </row>
    <row r="267">
      <c r="A267" s="10"/>
      <c r="B267" s="5"/>
      <c r="C267" s="5"/>
      <c r="D267" s="10"/>
    </row>
    <row r="268">
      <c r="A268" s="10"/>
      <c r="B268" s="5"/>
      <c r="C268" s="5"/>
      <c r="D268" s="10"/>
    </row>
    <row r="269">
      <c r="A269" s="10"/>
      <c r="B269" s="5"/>
      <c r="C269" s="5"/>
      <c r="D269" s="10"/>
    </row>
    <row r="270">
      <c r="A270" s="10"/>
      <c r="B270" s="5"/>
      <c r="C270" s="5"/>
      <c r="D270" s="10"/>
    </row>
    <row r="271">
      <c r="A271" s="10"/>
      <c r="B271" s="5"/>
      <c r="C271" s="5"/>
      <c r="D271" s="10"/>
    </row>
    <row r="272">
      <c r="A272" s="10"/>
      <c r="B272" s="5"/>
      <c r="C272" s="5"/>
      <c r="D272" s="10"/>
    </row>
    <row r="273">
      <c r="A273" s="10"/>
      <c r="B273" s="5"/>
      <c r="C273" s="5"/>
      <c r="D273" s="10"/>
    </row>
    <row r="274">
      <c r="A274" s="10"/>
      <c r="B274" s="5"/>
      <c r="C274" s="5"/>
      <c r="D274" s="10"/>
    </row>
    <row r="275">
      <c r="A275" s="10"/>
      <c r="B275" s="5"/>
      <c r="C275" s="5"/>
      <c r="D275" s="10"/>
    </row>
    <row r="276">
      <c r="A276" s="10"/>
      <c r="B276" s="5"/>
      <c r="C276" s="5"/>
      <c r="D276" s="10"/>
    </row>
    <row r="277">
      <c r="A277" s="10"/>
      <c r="B277" s="5"/>
      <c r="C277" s="5"/>
      <c r="D277" s="10"/>
    </row>
    <row r="278">
      <c r="A278" s="10"/>
      <c r="B278" s="5"/>
      <c r="C278" s="5"/>
      <c r="D278" s="10"/>
    </row>
    <row r="279">
      <c r="A279" s="10"/>
      <c r="B279" s="5"/>
      <c r="C279" s="5"/>
      <c r="D279" s="10"/>
    </row>
    <row r="280">
      <c r="A280" s="10"/>
      <c r="B280" s="5"/>
      <c r="C280" s="5"/>
      <c r="D280" s="10"/>
    </row>
    <row r="281">
      <c r="A281" s="10"/>
      <c r="B281" s="5"/>
      <c r="C281" s="5"/>
      <c r="D281" s="10"/>
    </row>
    <row r="282">
      <c r="A282" s="10"/>
      <c r="B282" s="5"/>
      <c r="C282" s="5"/>
      <c r="D282" s="10"/>
    </row>
    <row r="283">
      <c r="A283" s="10"/>
      <c r="B283" s="5"/>
      <c r="C283" s="5"/>
      <c r="D283" s="10"/>
    </row>
    <row r="284">
      <c r="A284" s="10"/>
      <c r="B284" s="5"/>
      <c r="C284" s="5"/>
      <c r="D284" s="10"/>
    </row>
    <row r="285">
      <c r="A285" s="10"/>
      <c r="B285" s="5"/>
      <c r="C285" s="5"/>
      <c r="D285" s="10"/>
    </row>
    <row r="286">
      <c r="A286" s="10"/>
      <c r="B286" s="5"/>
      <c r="C286" s="5"/>
      <c r="D286" s="10"/>
    </row>
    <row r="287">
      <c r="A287" s="10"/>
      <c r="B287" s="5"/>
      <c r="C287" s="5"/>
      <c r="D287" s="10"/>
    </row>
    <row r="288">
      <c r="A288" s="10"/>
      <c r="B288" s="5"/>
      <c r="C288" s="5"/>
      <c r="D288" s="10"/>
    </row>
    <row r="289">
      <c r="A289" s="10"/>
      <c r="B289" s="5"/>
      <c r="C289" s="5"/>
      <c r="D289" s="10"/>
    </row>
    <row r="290">
      <c r="A290" s="10"/>
      <c r="B290" s="5"/>
      <c r="C290" s="5"/>
      <c r="D290" s="10"/>
    </row>
    <row r="291">
      <c r="A291" s="10"/>
      <c r="B291" s="5"/>
      <c r="C291" s="5"/>
      <c r="D291" s="10"/>
    </row>
    <row r="292">
      <c r="A292" s="10"/>
      <c r="B292" s="5"/>
      <c r="C292" s="5"/>
      <c r="D292" s="10"/>
    </row>
    <row r="293">
      <c r="A293" s="10"/>
      <c r="B293" s="5"/>
      <c r="C293" s="5"/>
      <c r="D293" s="10"/>
    </row>
    <row r="294">
      <c r="A294" s="10"/>
      <c r="B294" s="5"/>
      <c r="C294" s="5"/>
      <c r="D294" s="10"/>
    </row>
    <row r="295">
      <c r="A295" s="10"/>
      <c r="B295" s="5"/>
      <c r="C295" s="5"/>
      <c r="D295" s="10"/>
    </row>
    <row r="296">
      <c r="A296" s="10"/>
      <c r="B296" s="5"/>
      <c r="C296" s="5"/>
      <c r="D296" s="10"/>
    </row>
    <row r="297">
      <c r="A297" s="10"/>
      <c r="B297" s="5"/>
      <c r="C297" s="5"/>
      <c r="D297" s="10"/>
    </row>
    <row r="298">
      <c r="A298" s="10"/>
      <c r="B298" s="5"/>
      <c r="C298" s="5"/>
      <c r="D298" s="10"/>
    </row>
    <row r="299">
      <c r="A299" s="10"/>
      <c r="B299" s="5"/>
      <c r="C299" s="5"/>
      <c r="D299" s="10"/>
    </row>
    <row r="300">
      <c r="A300" s="10"/>
      <c r="B300" s="5"/>
      <c r="C300" s="5"/>
      <c r="D300" s="10"/>
    </row>
    <row r="301">
      <c r="A301" s="10"/>
      <c r="B301" s="5"/>
      <c r="C301" s="5"/>
      <c r="D301" s="10"/>
    </row>
    <row r="302">
      <c r="A302" s="10"/>
      <c r="B302" s="5"/>
      <c r="C302" s="5"/>
      <c r="D302" s="10"/>
    </row>
    <row r="303">
      <c r="A303" s="10"/>
      <c r="B303" s="5"/>
      <c r="C303" s="5"/>
      <c r="D303" s="10"/>
    </row>
    <row r="304">
      <c r="A304" s="10"/>
      <c r="B304" s="5"/>
      <c r="C304" s="5"/>
      <c r="D304" s="10"/>
    </row>
    <row r="305">
      <c r="A305" s="10"/>
      <c r="B305" s="5"/>
      <c r="C305" s="5"/>
      <c r="D305" s="10"/>
    </row>
    <row r="306">
      <c r="A306" s="10"/>
      <c r="B306" s="5"/>
      <c r="C306" s="5"/>
      <c r="D306" s="10"/>
    </row>
    <row r="307">
      <c r="A307" s="10"/>
      <c r="B307" s="5"/>
      <c r="C307" s="5"/>
      <c r="D307" s="10"/>
    </row>
    <row r="308">
      <c r="A308" s="10"/>
      <c r="B308" s="5"/>
      <c r="C308" s="5"/>
      <c r="D308" s="10"/>
    </row>
    <row r="309">
      <c r="A309" s="10"/>
      <c r="B309" s="5"/>
      <c r="C309" s="5"/>
      <c r="D309" s="10"/>
    </row>
    <row r="310">
      <c r="A310" s="10"/>
      <c r="B310" s="5"/>
      <c r="C310" s="5"/>
      <c r="D310" s="10"/>
    </row>
    <row r="311">
      <c r="A311" s="10"/>
      <c r="B311" s="5"/>
      <c r="C311" s="5"/>
      <c r="D311" s="10"/>
    </row>
    <row r="312">
      <c r="A312" s="10"/>
      <c r="B312" s="5"/>
      <c r="C312" s="5"/>
      <c r="D312" s="10"/>
    </row>
    <row r="313">
      <c r="A313" s="10"/>
      <c r="B313" s="5"/>
      <c r="C313" s="5"/>
      <c r="D313" s="10"/>
    </row>
    <row r="314">
      <c r="A314" s="10"/>
      <c r="B314" s="5"/>
      <c r="C314" s="5"/>
      <c r="D314" s="10"/>
    </row>
    <row r="315">
      <c r="A315" s="10"/>
      <c r="B315" s="5"/>
      <c r="C315" s="5"/>
      <c r="D315" s="10"/>
    </row>
    <row r="316">
      <c r="A316" s="10"/>
      <c r="B316" s="5"/>
      <c r="C316" s="5"/>
      <c r="D316" s="10"/>
    </row>
    <row r="317">
      <c r="A317" s="10"/>
      <c r="B317" s="5"/>
      <c r="C317" s="5"/>
      <c r="D317" s="10"/>
    </row>
    <row r="318">
      <c r="A318" s="10"/>
      <c r="B318" s="5"/>
      <c r="C318" s="5"/>
      <c r="D318" s="10"/>
    </row>
    <row r="319">
      <c r="A319" s="10"/>
      <c r="B319" s="5"/>
      <c r="C319" s="5"/>
      <c r="D319" s="10"/>
    </row>
    <row r="320">
      <c r="A320" s="10"/>
      <c r="B320" s="5"/>
      <c r="C320" s="5"/>
      <c r="D320" s="10"/>
    </row>
    <row r="321">
      <c r="A321" s="10"/>
      <c r="B321" s="5"/>
      <c r="C321" s="5"/>
      <c r="D321" s="10"/>
    </row>
    <row r="322">
      <c r="A322" s="10"/>
      <c r="B322" s="5"/>
      <c r="C322" s="5"/>
      <c r="D322" s="10"/>
    </row>
    <row r="323">
      <c r="A323" s="10"/>
      <c r="B323" s="5"/>
      <c r="C323" s="5"/>
      <c r="D323" s="10"/>
    </row>
    <row r="324">
      <c r="A324" s="10"/>
      <c r="B324" s="5"/>
      <c r="C324" s="5"/>
      <c r="D324" s="10"/>
    </row>
    <row r="325">
      <c r="A325" s="10"/>
      <c r="B325" s="5"/>
      <c r="C325" s="5"/>
      <c r="D325" s="10"/>
    </row>
    <row r="326">
      <c r="A326" s="10"/>
      <c r="B326" s="5"/>
      <c r="C326" s="5"/>
      <c r="D326" s="10"/>
    </row>
    <row r="327">
      <c r="A327" s="10"/>
      <c r="B327" s="5"/>
      <c r="C327" s="5"/>
      <c r="D327" s="10"/>
    </row>
    <row r="328">
      <c r="A328" s="10"/>
      <c r="B328" s="5"/>
      <c r="C328" s="5"/>
      <c r="D328" s="10"/>
    </row>
    <row r="329">
      <c r="A329" s="10"/>
      <c r="B329" s="5"/>
      <c r="C329" s="5"/>
      <c r="D329" s="10"/>
    </row>
    <row r="330">
      <c r="A330" s="10"/>
      <c r="B330" s="5"/>
      <c r="C330" s="5"/>
      <c r="D330" s="10"/>
    </row>
    <row r="331">
      <c r="A331" s="10"/>
      <c r="B331" s="5"/>
      <c r="C331" s="5"/>
      <c r="D331" s="10"/>
    </row>
    <row r="332">
      <c r="A332" s="10"/>
      <c r="B332" s="5"/>
      <c r="C332" s="5"/>
      <c r="D332" s="10"/>
    </row>
    <row r="333">
      <c r="A333" s="10"/>
      <c r="B333" s="5"/>
      <c r="C333" s="5"/>
      <c r="D333" s="10"/>
    </row>
    <row r="334">
      <c r="A334" s="10"/>
      <c r="B334" s="5"/>
      <c r="C334" s="5"/>
      <c r="D334" s="10"/>
    </row>
    <row r="335">
      <c r="A335" s="10"/>
      <c r="B335" s="5"/>
      <c r="C335" s="5"/>
      <c r="D335" s="10"/>
    </row>
    <row r="336">
      <c r="A336" s="10"/>
      <c r="B336" s="5"/>
      <c r="C336" s="5"/>
      <c r="D336" s="10"/>
    </row>
    <row r="337">
      <c r="A337" s="10"/>
      <c r="B337" s="5"/>
      <c r="C337" s="5"/>
      <c r="D337" s="10"/>
    </row>
    <row r="338">
      <c r="A338" s="10"/>
      <c r="B338" s="5"/>
      <c r="C338" s="5"/>
      <c r="D338" s="10"/>
    </row>
    <row r="339">
      <c r="A339" s="10"/>
      <c r="B339" s="5"/>
      <c r="C339" s="5"/>
      <c r="D339" s="10"/>
    </row>
    <row r="340">
      <c r="A340" s="10"/>
      <c r="B340" s="5"/>
      <c r="C340" s="5"/>
      <c r="D340" s="10"/>
    </row>
    <row r="341">
      <c r="A341" s="10"/>
      <c r="B341" s="5"/>
      <c r="C341" s="5"/>
      <c r="D341" s="10"/>
    </row>
    <row r="342">
      <c r="A342" s="10"/>
      <c r="B342" s="5"/>
      <c r="C342" s="5"/>
      <c r="D342" s="10"/>
    </row>
    <row r="343">
      <c r="A343" s="10"/>
      <c r="B343" s="5"/>
      <c r="C343" s="5"/>
      <c r="D343" s="10"/>
    </row>
    <row r="344">
      <c r="A344" s="10"/>
      <c r="B344" s="5"/>
      <c r="C344" s="5"/>
      <c r="D344" s="10"/>
    </row>
    <row r="345">
      <c r="A345" s="10"/>
      <c r="B345" s="5"/>
      <c r="C345" s="5"/>
      <c r="D345" s="10"/>
    </row>
    <row r="346">
      <c r="A346" s="10"/>
      <c r="B346" s="5"/>
      <c r="C346" s="5"/>
      <c r="D346" s="10"/>
    </row>
    <row r="347">
      <c r="A347" s="10"/>
      <c r="B347" s="5"/>
      <c r="C347" s="5"/>
      <c r="D347" s="10"/>
    </row>
    <row r="348">
      <c r="A348" s="10"/>
      <c r="B348" s="5"/>
      <c r="C348" s="5"/>
      <c r="D348" s="10"/>
    </row>
    <row r="349">
      <c r="A349" s="10"/>
      <c r="B349" s="5"/>
      <c r="C349" s="5"/>
      <c r="D349" s="10"/>
    </row>
    <row r="350">
      <c r="A350" s="10"/>
      <c r="B350" s="5"/>
      <c r="C350" s="5"/>
      <c r="D350" s="10"/>
    </row>
    <row r="351">
      <c r="A351" s="10"/>
      <c r="B351" s="5"/>
      <c r="C351" s="5"/>
      <c r="D351" s="10"/>
    </row>
    <row r="352">
      <c r="A352" s="10"/>
      <c r="B352" s="5"/>
      <c r="C352" s="5"/>
      <c r="D352" s="10"/>
    </row>
    <row r="353">
      <c r="A353" s="10"/>
      <c r="B353" s="5"/>
      <c r="C353" s="5"/>
      <c r="D353" s="10"/>
    </row>
    <row r="354">
      <c r="A354" s="10"/>
      <c r="B354" s="5"/>
      <c r="C354" s="5"/>
      <c r="D354" s="10"/>
    </row>
    <row r="355">
      <c r="A355" s="10"/>
      <c r="B355" s="5"/>
      <c r="C355" s="5"/>
      <c r="D355" s="10"/>
    </row>
    <row r="356">
      <c r="A356" s="10"/>
      <c r="B356" s="5"/>
      <c r="C356" s="5"/>
      <c r="D356" s="10"/>
    </row>
    <row r="357">
      <c r="A357" s="10"/>
      <c r="B357" s="5"/>
      <c r="C357" s="5"/>
      <c r="D357" s="10"/>
    </row>
    <row r="358">
      <c r="A358" s="10"/>
      <c r="B358" s="5"/>
      <c r="C358" s="5"/>
      <c r="D358" s="10"/>
    </row>
    <row r="359">
      <c r="A359" s="10"/>
      <c r="B359" s="5"/>
      <c r="C359" s="5"/>
      <c r="D359" s="10"/>
    </row>
    <row r="360">
      <c r="A360" s="10"/>
      <c r="B360" s="5"/>
      <c r="C360" s="5"/>
      <c r="D360" s="10"/>
    </row>
    <row r="361">
      <c r="A361" s="10"/>
      <c r="B361" s="5"/>
      <c r="C361" s="5"/>
      <c r="D361" s="10"/>
    </row>
    <row r="362">
      <c r="A362" s="10"/>
      <c r="B362" s="5"/>
      <c r="C362" s="5"/>
      <c r="D362" s="10"/>
    </row>
    <row r="363">
      <c r="A363" s="10"/>
      <c r="B363" s="5"/>
      <c r="C363" s="5"/>
      <c r="D363" s="10"/>
    </row>
    <row r="364">
      <c r="A364" s="10"/>
      <c r="B364" s="5"/>
      <c r="C364" s="5"/>
      <c r="D364" s="10"/>
    </row>
    <row r="365">
      <c r="A365" s="10"/>
      <c r="B365" s="5"/>
      <c r="C365" s="5"/>
      <c r="D365" s="10"/>
    </row>
    <row r="366">
      <c r="A366" s="10"/>
      <c r="B366" s="5"/>
      <c r="C366" s="5"/>
      <c r="D366" s="10"/>
    </row>
    <row r="367">
      <c r="A367" s="10"/>
      <c r="B367" s="5"/>
      <c r="C367" s="5"/>
      <c r="D367" s="10"/>
    </row>
    <row r="368">
      <c r="A368" s="10"/>
      <c r="B368" s="5"/>
      <c r="C368" s="5"/>
      <c r="D368" s="10"/>
    </row>
    <row r="369">
      <c r="A369" s="10"/>
      <c r="B369" s="5"/>
      <c r="C369" s="5"/>
      <c r="D369" s="10"/>
    </row>
    <row r="370">
      <c r="A370" s="10"/>
      <c r="B370" s="5"/>
      <c r="C370" s="5"/>
      <c r="D370" s="10"/>
    </row>
    <row r="371">
      <c r="A371" s="10"/>
      <c r="B371" s="5"/>
      <c r="C371" s="5"/>
      <c r="D371" s="10"/>
    </row>
    <row r="372">
      <c r="A372" s="10"/>
      <c r="B372" s="5"/>
      <c r="C372" s="5"/>
      <c r="D372" s="10"/>
    </row>
    <row r="373">
      <c r="A373" s="10"/>
      <c r="B373" s="5"/>
      <c r="C373" s="5"/>
      <c r="D373" s="10"/>
    </row>
    <row r="374">
      <c r="A374" s="10"/>
      <c r="B374" s="5"/>
      <c r="C374" s="5"/>
      <c r="D374" s="10"/>
    </row>
    <row r="375">
      <c r="A375" s="10"/>
      <c r="B375" s="5"/>
      <c r="C375" s="5"/>
      <c r="D375" s="10"/>
    </row>
    <row r="376">
      <c r="A376" s="10"/>
      <c r="B376" s="5"/>
      <c r="C376" s="5"/>
      <c r="D376" s="10"/>
    </row>
    <row r="377">
      <c r="A377" s="10"/>
      <c r="B377" s="5"/>
      <c r="C377" s="5"/>
      <c r="D377" s="10"/>
    </row>
    <row r="378">
      <c r="A378" s="10"/>
      <c r="B378" s="5"/>
      <c r="C378" s="5"/>
      <c r="D378" s="10"/>
    </row>
    <row r="379">
      <c r="A379" s="10"/>
      <c r="B379" s="5"/>
      <c r="C379" s="5"/>
      <c r="D379" s="10"/>
    </row>
    <row r="380">
      <c r="A380" s="10"/>
      <c r="B380" s="5"/>
      <c r="C380" s="5"/>
      <c r="D380" s="10"/>
    </row>
    <row r="381">
      <c r="A381" s="10"/>
      <c r="B381" s="5"/>
      <c r="C381" s="5"/>
      <c r="D381" s="10"/>
    </row>
    <row r="382">
      <c r="A382" s="10"/>
      <c r="B382" s="5"/>
      <c r="C382" s="5"/>
      <c r="D382" s="10"/>
    </row>
    <row r="383">
      <c r="A383" s="10"/>
      <c r="B383" s="5"/>
      <c r="C383" s="5"/>
      <c r="D383" s="10"/>
    </row>
    <row r="384">
      <c r="A384" s="10"/>
      <c r="B384" s="5"/>
      <c r="C384" s="5"/>
      <c r="D384" s="10"/>
    </row>
    <row r="385">
      <c r="A385" s="10"/>
      <c r="B385" s="5"/>
      <c r="C385" s="5"/>
      <c r="D385" s="10"/>
    </row>
    <row r="386">
      <c r="A386" s="10"/>
      <c r="B386" s="5"/>
      <c r="C386" s="5"/>
      <c r="D386" s="10"/>
    </row>
    <row r="387">
      <c r="A387" s="10"/>
      <c r="B387" s="5"/>
      <c r="C387" s="5"/>
      <c r="D387" s="10"/>
    </row>
    <row r="388">
      <c r="A388" s="10"/>
      <c r="B388" s="5"/>
      <c r="C388" s="5"/>
      <c r="D388" s="10"/>
    </row>
    <row r="389">
      <c r="A389" s="10"/>
      <c r="B389" s="5"/>
      <c r="C389" s="5"/>
      <c r="D389" s="10"/>
    </row>
    <row r="390">
      <c r="A390" s="10"/>
      <c r="B390" s="5"/>
      <c r="C390" s="5"/>
      <c r="D390" s="10"/>
    </row>
    <row r="391">
      <c r="A391" s="10"/>
      <c r="B391" s="5"/>
      <c r="C391" s="5"/>
      <c r="D391" s="10"/>
    </row>
    <row r="392">
      <c r="A392" s="10"/>
      <c r="B392" s="5"/>
      <c r="C392" s="5"/>
      <c r="D392" s="10"/>
    </row>
    <row r="393">
      <c r="A393" s="10"/>
      <c r="B393" s="5"/>
      <c r="C393" s="5"/>
      <c r="D393" s="10"/>
    </row>
    <row r="394">
      <c r="A394" s="10"/>
      <c r="B394" s="5"/>
      <c r="C394" s="5"/>
      <c r="D394" s="10"/>
    </row>
    <row r="395">
      <c r="A395" s="10"/>
      <c r="B395" s="5"/>
      <c r="C395" s="5"/>
      <c r="D395" s="10"/>
    </row>
    <row r="396">
      <c r="A396" s="10"/>
      <c r="B396" s="5"/>
      <c r="C396" s="5"/>
      <c r="D396" s="10"/>
    </row>
    <row r="397">
      <c r="A397" s="10"/>
      <c r="B397" s="5"/>
      <c r="C397" s="5"/>
      <c r="D397" s="10"/>
    </row>
    <row r="398">
      <c r="A398" s="10"/>
      <c r="B398" s="5"/>
      <c r="C398" s="5"/>
      <c r="D398" s="10"/>
    </row>
    <row r="399">
      <c r="A399" s="10"/>
      <c r="B399" s="5"/>
      <c r="C399" s="5"/>
      <c r="D399" s="10"/>
    </row>
    <row r="400">
      <c r="A400" s="10"/>
      <c r="B400" s="5"/>
      <c r="C400" s="5"/>
      <c r="D400" s="10"/>
    </row>
    <row r="401">
      <c r="A401" s="10"/>
      <c r="B401" s="5"/>
      <c r="C401" s="5"/>
      <c r="D401" s="10"/>
    </row>
    <row r="402">
      <c r="A402" s="10"/>
      <c r="B402" s="5"/>
      <c r="C402" s="5"/>
      <c r="D402" s="10"/>
    </row>
    <row r="403">
      <c r="A403" s="10"/>
      <c r="B403" s="5"/>
      <c r="C403" s="5"/>
      <c r="D403" s="10"/>
    </row>
    <row r="404">
      <c r="A404" s="10"/>
      <c r="B404" s="5"/>
      <c r="C404" s="5"/>
      <c r="D404" s="10"/>
    </row>
    <row r="405">
      <c r="A405" s="10"/>
      <c r="B405" s="5"/>
      <c r="C405" s="5"/>
      <c r="D405" s="10"/>
    </row>
    <row r="406">
      <c r="A406" s="10"/>
      <c r="B406" s="5"/>
      <c r="C406" s="5"/>
      <c r="D406" s="10"/>
    </row>
    <row r="407">
      <c r="A407" s="10"/>
      <c r="B407" s="5"/>
      <c r="C407" s="5"/>
      <c r="D407" s="10"/>
    </row>
    <row r="408">
      <c r="A408" s="10"/>
      <c r="B408" s="5"/>
      <c r="C408" s="5"/>
      <c r="D408" s="10"/>
    </row>
    <row r="409">
      <c r="A409" s="10"/>
      <c r="B409" s="5"/>
      <c r="C409" s="5"/>
      <c r="D409" s="10"/>
    </row>
    <row r="410">
      <c r="A410" s="10"/>
      <c r="B410" s="5"/>
      <c r="C410" s="5"/>
      <c r="D410" s="10"/>
    </row>
    <row r="411">
      <c r="A411" s="10"/>
      <c r="B411" s="5"/>
      <c r="C411" s="5"/>
      <c r="D411" s="10"/>
    </row>
    <row r="412">
      <c r="A412" s="10"/>
      <c r="B412" s="5"/>
      <c r="C412" s="5"/>
      <c r="D412" s="10"/>
    </row>
    <row r="413">
      <c r="A413" s="10"/>
      <c r="B413" s="5"/>
      <c r="C413" s="5"/>
      <c r="D413" s="10"/>
    </row>
    <row r="414">
      <c r="A414" s="10"/>
      <c r="B414" s="5"/>
      <c r="C414" s="5"/>
      <c r="D414" s="10"/>
    </row>
    <row r="415">
      <c r="A415" s="10"/>
      <c r="B415" s="5"/>
      <c r="C415" s="5"/>
      <c r="D415" s="10"/>
    </row>
    <row r="416">
      <c r="A416" s="10"/>
      <c r="B416" s="5"/>
      <c r="C416" s="5"/>
      <c r="D416" s="10"/>
    </row>
    <row r="417">
      <c r="A417" s="10"/>
      <c r="B417" s="5"/>
      <c r="C417" s="5"/>
      <c r="D417" s="10"/>
    </row>
    <row r="418">
      <c r="A418" s="10"/>
      <c r="B418" s="5"/>
      <c r="C418" s="5"/>
      <c r="D418" s="10"/>
    </row>
    <row r="419">
      <c r="A419" s="10"/>
      <c r="B419" s="5"/>
      <c r="C419" s="5"/>
      <c r="D419" s="10"/>
    </row>
    <row r="420">
      <c r="A420" s="10"/>
      <c r="B420" s="5"/>
      <c r="C420" s="5"/>
      <c r="D420" s="10"/>
    </row>
    <row r="421">
      <c r="A421" s="10"/>
      <c r="B421" s="5"/>
      <c r="C421" s="5"/>
      <c r="D421" s="10"/>
    </row>
    <row r="422">
      <c r="A422" s="10"/>
      <c r="B422" s="5"/>
      <c r="C422" s="5"/>
      <c r="D422" s="10"/>
    </row>
    <row r="423">
      <c r="A423" s="10"/>
      <c r="B423" s="5"/>
      <c r="C423" s="5"/>
      <c r="D423" s="10"/>
    </row>
    <row r="424">
      <c r="A424" s="10"/>
      <c r="B424" s="5"/>
      <c r="C424" s="5"/>
      <c r="D424" s="10"/>
    </row>
    <row r="425">
      <c r="A425" s="10"/>
      <c r="B425" s="5"/>
      <c r="C425" s="5"/>
      <c r="D425" s="10"/>
    </row>
    <row r="426">
      <c r="A426" s="10"/>
      <c r="B426" s="5"/>
      <c r="C426" s="5"/>
      <c r="D426" s="10"/>
    </row>
    <row r="427">
      <c r="A427" s="10"/>
      <c r="B427" s="5"/>
      <c r="C427" s="5"/>
      <c r="D427" s="10"/>
    </row>
    <row r="428">
      <c r="A428" s="10"/>
      <c r="B428" s="5"/>
      <c r="C428" s="5"/>
      <c r="D428" s="10"/>
    </row>
    <row r="429">
      <c r="A429" s="10"/>
      <c r="B429" s="5"/>
      <c r="C429" s="5"/>
      <c r="D429" s="10"/>
    </row>
    <row r="430">
      <c r="A430" s="10"/>
      <c r="B430" s="5"/>
      <c r="C430" s="5"/>
      <c r="D430" s="10"/>
    </row>
    <row r="431">
      <c r="A431" s="10"/>
      <c r="B431" s="5"/>
      <c r="C431" s="5"/>
      <c r="D431" s="10"/>
    </row>
    <row r="432">
      <c r="A432" s="10"/>
      <c r="B432" s="5"/>
      <c r="C432" s="5"/>
      <c r="D432" s="10"/>
    </row>
    <row r="433">
      <c r="A433" s="10"/>
      <c r="B433" s="5"/>
      <c r="C433" s="5"/>
      <c r="D433" s="10"/>
    </row>
    <row r="434">
      <c r="A434" s="10"/>
      <c r="B434" s="5"/>
      <c r="C434" s="5"/>
      <c r="D434" s="10"/>
    </row>
    <row r="435">
      <c r="A435" s="10"/>
      <c r="B435" s="5"/>
      <c r="C435" s="5"/>
      <c r="D435" s="10"/>
    </row>
    <row r="436">
      <c r="A436" s="10"/>
      <c r="B436" s="5"/>
      <c r="C436" s="5"/>
      <c r="D436" s="10"/>
    </row>
    <row r="437">
      <c r="A437" s="10"/>
      <c r="B437" s="5"/>
      <c r="C437" s="5"/>
      <c r="D437" s="10"/>
    </row>
    <row r="438">
      <c r="A438" s="10"/>
      <c r="B438" s="5"/>
      <c r="C438" s="5"/>
      <c r="D438" s="10"/>
    </row>
    <row r="439">
      <c r="A439" s="10"/>
      <c r="B439" s="5"/>
      <c r="C439" s="5"/>
      <c r="D439" s="10"/>
    </row>
    <row r="440">
      <c r="A440" s="10"/>
      <c r="B440" s="5"/>
      <c r="C440" s="5"/>
      <c r="D440" s="10"/>
    </row>
    <row r="441">
      <c r="A441" s="10"/>
      <c r="B441" s="5"/>
      <c r="C441" s="5"/>
      <c r="D441" s="10"/>
    </row>
    <row r="442">
      <c r="A442" s="10"/>
      <c r="B442" s="5"/>
      <c r="C442" s="5"/>
      <c r="D442" s="10"/>
    </row>
    <row r="443">
      <c r="A443" s="10"/>
      <c r="B443" s="5"/>
      <c r="C443" s="5"/>
      <c r="D443" s="10"/>
    </row>
    <row r="444">
      <c r="A444" s="10"/>
      <c r="B444" s="5"/>
      <c r="C444" s="5"/>
      <c r="D444" s="10"/>
    </row>
    <row r="445">
      <c r="A445" s="10"/>
      <c r="B445" s="5"/>
      <c r="C445" s="5"/>
      <c r="D445" s="10"/>
    </row>
    <row r="446">
      <c r="A446" s="10"/>
      <c r="B446" s="5"/>
      <c r="C446" s="5"/>
      <c r="D446" s="10"/>
    </row>
    <row r="447">
      <c r="A447" s="10"/>
      <c r="B447" s="5"/>
      <c r="C447" s="5"/>
      <c r="D447" s="10"/>
    </row>
    <row r="448">
      <c r="A448" s="10"/>
      <c r="B448" s="5"/>
      <c r="C448" s="5"/>
      <c r="D448" s="10"/>
    </row>
    <row r="449">
      <c r="A449" s="10"/>
      <c r="B449" s="5"/>
      <c r="C449" s="5"/>
      <c r="D449" s="10"/>
    </row>
    <row r="450">
      <c r="A450" s="10"/>
      <c r="B450" s="5"/>
      <c r="C450" s="5"/>
      <c r="D450" s="10"/>
    </row>
    <row r="451">
      <c r="A451" s="10"/>
      <c r="B451" s="5"/>
      <c r="C451" s="5"/>
      <c r="D451" s="10"/>
    </row>
    <row r="452">
      <c r="A452" s="10"/>
      <c r="B452" s="5"/>
      <c r="C452" s="5"/>
      <c r="D452" s="10"/>
    </row>
    <row r="453">
      <c r="A453" s="10"/>
      <c r="B453" s="5"/>
      <c r="C453" s="5"/>
      <c r="D453" s="10"/>
    </row>
    <row r="454">
      <c r="A454" s="10"/>
      <c r="B454" s="5"/>
      <c r="C454" s="5"/>
      <c r="D454" s="10"/>
    </row>
    <row r="455">
      <c r="A455" s="10"/>
      <c r="B455" s="5"/>
      <c r="C455" s="5"/>
      <c r="D455" s="10"/>
    </row>
    <row r="456">
      <c r="A456" s="10"/>
      <c r="B456" s="5"/>
      <c r="C456" s="5"/>
      <c r="D456" s="10"/>
    </row>
    <row r="457">
      <c r="A457" s="10"/>
      <c r="B457" s="5"/>
      <c r="C457" s="5"/>
      <c r="D457" s="10"/>
    </row>
    <row r="458">
      <c r="A458" s="10"/>
      <c r="B458" s="5"/>
      <c r="C458" s="5"/>
      <c r="D458" s="10"/>
    </row>
    <row r="459">
      <c r="A459" s="10"/>
      <c r="B459" s="5"/>
      <c r="C459" s="5"/>
      <c r="D459" s="10"/>
    </row>
    <row r="460">
      <c r="A460" s="10"/>
      <c r="B460" s="5"/>
      <c r="C460" s="5"/>
      <c r="D460" s="10"/>
    </row>
    <row r="461">
      <c r="A461" s="10"/>
      <c r="B461" s="5"/>
      <c r="C461" s="5"/>
      <c r="D461" s="10"/>
    </row>
    <row r="462">
      <c r="A462" s="10"/>
      <c r="B462" s="5"/>
      <c r="C462" s="5"/>
      <c r="D462" s="10"/>
    </row>
    <row r="463">
      <c r="A463" s="10"/>
      <c r="B463" s="5"/>
      <c r="C463" s="5"/>
      <c r="D463" s="10"/>
    </row>
    <row r="464">
      <c r="A464" s="10"/>
      <c r="B464" s="5"/>
      <c r="C464" s="5"/>
      <c r="D464" s="10"/>
    </row>
    <row r="465">
      <c r="A465" s="10"/>
      <c r="B465" s="5"/>
      <c r="C465" s="5"/>
      <c r="D465" s="10"/>
    </row>
    <row r="466">
      <c r="A466" s="10"/>
      <c r="B466" s="5"/>
      <c r="C466" s="5"/>
      <c r="D466" s="10"/>
    </row>
    <row r="467">
      <c r="A467" s="10"/>
      <c r="B467" s="5"/>
      <c r="C467" s="5"/>
      <c r="D467" s="10"/>
    </row>
    <row r="468">
      <c r="A468" s="10"/>
      <c r="B468" s="5"/>
      <c r="C468" s="5"/>
      <c r="D468" s="10"/>
    </row>
    <row r="469">
      <c r="A469" s="10"/>
      <c r="B469" s="5"/>
      <c r="C469" s="5"/>
      <c r="D469" s="10"/>
    </row>
    <row r="470">
      <c r="A470" s="10"/>
      <c r="B470" s="5"/>
      <c r="C470" s="5"/>
      <c r="D470" s="10"/>
    </row>
    <row r="471">
      <c r="A471" s="10"/>
      <c r="B471" s="5"/>
      <c r="C471" s="5"/>
      <c r="D471" s="10"/>
    </row>
    <row r="472">
      <c r="A472" s="10"/>
      <c r="B472" s="5"/>
      <c r="C472" s="5"/>
      <c r="D472" s="10"/>
    </row>
    <row r="473">
      <c r="A473" s="10"/>
      <c r="B473" s="5"/>
      <c r="C473" s="5"/>
      <c r="D473" s="10"/>
    </row>
    <row r="474">
      <c r="A474" s="10"/>
      <c r="B474" s="5"/>
      <c r="C474" s="5"/>
      <c r="D474" s="10"/>
    </row>
    <row r="475">
      <c r="A475" s="10"/>
      <c r="B475" s="5"/>
      <c r="C475" s="5"/>
      <c r="D475" s="10"/>
    </row>
    <row r="476">
      <c r="A476" s="10"/>
      <c r="B476" s="5"/>
      <c r="C476" s="5"/>
      <c r="D476" s="10"/>
    </row>
    <row r="477">
      <c r="A477" s="10"/>
      <c r="B477" s="5"/>
      <c r="C477" s="5"/>
      <c r="D477" s="10"/>
    </row>
    <row r="478">
      <c r="A478" s="10"/>
      <c r="B478" s="5"/>
      <c r="C478" s="5"/>
      <c r="D478" s="10"/>
    </row>
    <row r="479">
      <c r="A479" s="10"/>
      <c r="B479" s="5"/>
      <c r="C479" s="5"/>
      <c r="D479" s="10"/>
    </row>
    <row r="480">
      <c r="A480" s="10"/>
      <c r="B480" s="5"/>
      <c r="C480" s="5"/>
      <c r="D480" s="10"/>
    </row>
    <row r="481">
      <c r="A481" s="10"/>
      <c r="B481" s="5"/>
      <c r="C481" s="5"/>
      <c r="D481" s="10"/>
    </row>
    <row r="482">
      <c r="A482" s="10"/>
      <c r="B482" s="5"/>
      <c r="C482" s="5"/>
      <c r="D482" s="10"/>
    </row>
    <row r="483">
      <c r="A483" s="10"/>
      <c r="B483" s="5"/>
      <c r="C483" s="5"/>
      <c r="D483" s="10"/>
    </row>
    <row r="484">
      <c r="A484" s="10"/>
      <c r="B484" s="5"/>
      <c r="C484" s="5"/>
      <c r="D484" s="10"/>
    </row>
    <row r="485">
      <c r="A485" s="10"/>
      <c r="B485" s="5"/>
      <c r="C485" s="5"/>
      <c r="D485" s="10"/>
    </row>
    <row r="486">
      <c r="A486" s="10"/>
      <c r="B486" s="5"/>
      <c r="C486" s="5"/>
      <c r="D486" s="10"/>
    </row>
    <row r="487">
      <c r="A487" s="10"/>
      <c r="B487" s="5"/>
      <c r="C487" s="5"/>
      <c r="D487" s="10"/>
    </row>
    <row r="488">
      <c r="A488" s="10"/>
      <c r="B488" s="5"/>
      <c r="C488" s="5"/>
      <c r="D488" s="10"/>
    </row>
    <row r="489">
      <c r="A489" s="10"/>
      <c r="B489" s="5"/>
      <c r="C489" s="5"/>
      <c r="D489" s="10"/>
    </row>
    <row r="490">
      <c r="A490" s="10"/>
      <c r="B490" s="5"/>
      <c r="C490" s="5"/>
      <c r="D490" s="10"/>
    </row>
    <row r="491">
      <c r="A491" s="10"/>
      <c r="B491" s="5"/>
      <c r="C491" s="5"/>
      <c r="D491" s="10"/>
    </row>
    <row r="492">
      <c r="A492" s="10"/>
      <c r="B492" s="5"/>
      <c r="C492" s="5"/>
      <c r="D492" s="10"/>
    </row>
    <row r="493">
      <c r="A493" s="10"/>
      <c r="B493" s="5"/>
      <c r="C493" s="5"/>
      <c r="D493" s="10"/>
    </row>
    <row r="494">
      <c r="A494" s="10"/>
      <c r="B494" s="5"/>
      <c r="C494" s="5"/>
      <c r="D494" s="10"/>
    </row>
    <row r="495">
      <c r="A495" s="10"/>
      <c r="B495" s="5"/>
      <c r="C495" s="5"/>
      <c r="D495" s="10"/>
    </row>
    <row r="496">
      <c r="A496" s="10"/>
      <c r="B496" s="5"/>
      <c r="C496" s="5"/>
      <c r="D496" s="10"/>
    </row>
    <row r="497">
      <c r="A497" s="10"/>
      <c r="B497" s="5"/>
      <c r="C497" s="5"/>
      <c r="D497" s="10"/>
    </row>
    <row r="498">
      <c r="A498" s="10"/>
      <c r="B498" s="5"/>
      <c r="C498" s="5"/>
      <c r="D498" s="10"/>
    </row>
    <row r="499">
      <c r="A499" s="10"/>
      <c r="B499" s="5"/>
      <c r="C499" s="5"/>
      <c r="D499" s="10"/>
    </row>
    <row r="500">
      <c r="A500" s="10"/>
      <c r="B500" s="5"/>
      <c r="C500" s="5"/>
      <c r="D500" s="10"/>
    </row>
    <row r="501">
      <c r="A501" s="10"/>
      <c r="B501" s="5"/>
      <c r="C501" s="5"/>
      <c r="D501" s="10"/>
    </row>
    <row r="502">
      <c r="A502" s="10"/>
      <c r="B502" s="5"/>
      <c r="C502" s="5"/>
      <c r="D502" s="10"/>
    </row>
    <row r="503">
      <c r="A503" s="10"/>
      <c r="B503" s="5"/>
      <c r="C503" s="5"/>
      <c r="D503" s="10"/>
    </row>
    <row r="504">
      <c r="A504" s="10"/>
      <c r="B504" s="5"/>
      <c r="C504" s="5"/>
      <c r="D504" s="10"/>
    </row>
    <row r="505">
      <c r="A505" s="10"/>
      <c r="B505" s="5"/>
      <c r="C505" s="5"/>
      <c r="D505" s="10"/>
    </row>
    <row r="506">
      <c r="A506" s="10"/>
      <c r="B506" s="5"/>
      <c r="C506" s="5"/>
      <c r="D506" s="10"/>
    </row>
    <row r="507">
      <c r="A507" s="10"/>
      <c r="B507" s="5"/>
      <c r="C507" s="5"/>
      <c r="D507" s="10"/>
    </row>
    <row r="508">
      <c r="A508" s="10"/>
      <c r="B508" s="5"/>
      <c r="C508" s="5"/>
      <c r="D508" s="10"/>
    </row>
    <row r="509">
      <c r="A509" s="10"/>
      <c r="B509" s="5"/>
      <c r="C509" s="5"/>
      <c r="D509" s="10"/>
    </row>
    <row r="510">
      <c r="A510" s="10"/>
      <c r="B510" s="5"/>
      <c r="C510" s="5"/>
      <c r="D510" s="10"/>
    </row>
    <row r="511">
      <c r="A511" s="10"/>
      <c r="B511" s="5"/>
      <c r="C511" s="5"/>
      <c r="D511" s="10"/>
    </row>
    <row r="512">
      <c r="A512" s="10"/>
      <c r="B512" s="5"/>
      <c r="C512" s="5"/>
      <c r="D512" s="10"/>
    </row>
    <row r="513">
      <c r="A513" s="10"/>
      <c r="B513" s="5"/>
      <c r="C513" s="5"/>
      <c r="D513" s="10"/>
    </row>
    <row r="514">
      <c r="A514" s="10"/>
      <c r="B514" s="5"/>
      <c r="C514" s="5"/>
      <c r="D514" s="10"/>
    </row>
    <row r="515">
      <c r="A515" s="10"/>
      <c r="B515" s="5"/>
      <c r="C515" s="5"/>
      <c r="D515" s="10"/>
    </row>
    <row r="516">
      <c r="A516" s="10"/>
      <c r="B516" s="5"/>
      <c r="C516" s="5"/>
      <c r="D516" s="10"/>
    </row>
    <row r="517">
      <c r="A517" s="10"/>
      <c r="B517" s="5"/>
      <c r="C517" s="5"/>
      <c r="D517" s="10"/>
    </row>
    <row r="518">
      <c r="A518" s="10"/>
      <c r="B518" s="5"/>
      <c r="C518" s="5"/>
      <c r="D518" s="10"/>
    </row>
    <row r="519">
      <c r="A519" s="10"/>
      <c r="B519" s="5"/>
      <c r="C519" s="5"/>
      <c r="D519" s="10"/>
    </row>
    <row r="520">
      <c r="A520" s="10"/>
      <c r="B520" s="5"/>
      <c r="C520" s="5"/>
      <c r="D520" s="10"/>
    </row>
    <row r="521">
      <c r="A521" s="10"/>
      <c r="B521" s="5"/>
      <c r="C521" s="5"/>
      <c r="D521" s="10"/>
    </row>
    <row r="522">
      <c r="A522" s="10"/>
      <c r="B522" s="5"/>
      <c r="C522" s="5"/>
      <c r="D522" s="10"/>
    </row>
    <row r="523">
      <c r="A523" s="10"/>
      <c r="B523" s="5"/>
      <c r="C523" s="5"/>
      <c r="D523" s="10"/>
    </row>
    <row r="524">
      <c r="A524" s="10"/>
      <c r="B524" s="5"/>
      <c r="C524" s="5"/>
      <c r="D524" s="10"/>
    </row>
    <row r="525">
      <c r="A525" s="10"/>
      <c r="B525" s="5"/>
      <c r="C525" s="5"/>
      <c r="D525" s="10"/>
    </row>
    <row r="526">
      <c r="A526" s="10"/>
      <c r="B526" s="5"/>
      <c r="C526" s="5"/>
      <c r="D526" s="10"/>
    </row>
    <row r="527">
      <c r="A527" s="10"/>
      <c r="B527" s="5"/>
      <c r="C527" s="5"/>
      <c r="D527" s="10"/>
    </row>
    <row r="528">
      <c r="A528" s="10"/>
      <c r="B528" s="5"/>
      <c r="C528" s="5"/>
      <c r="D528" s="10"/>
    </row>
    <row r="529">
      <c r="A529" s="10"/>
      <c r="B529" s="5"/>
      <c r="C529" s="5"/>
      <c r="D529" s="10"/>
    </row>
    <row r="530">
      <c r="A530" s="10"/>
      <c r="B530" s="5"/>
      <c r="C530" s="5"/>
      <c r="D530" s="10"/>
    </row>
    <row r="531">
      <c r="A531" s="10"/>
      <c r="B531" s="5"/>
      <c r="C531" s="5"/>
      <c r="D531" s="10"/>
    </row>
    <row r="532">
      <c r="A532" s="10"/>
      <c r="B532" s="5"/>
      <c r="C532" s="5"/>
      <c r="D532" s="10"/>
    </row>
    <row r="533">
      <c r="A533" s="10"/>
      <c r="B533" s="5"/>
      <c r="C533" s="5"/>
      <c r="D533" s="10"/>
    </row>
    <row r="534">
      <c r="A534" s="10"/>
      <c r="B534" s="5"/>
      <c r="C534" s="5"/>
      <c r="D534" s="10"/>
    </row>
    <row r="535">
      <c r="A535" s="10"/>
      <c r="B535" s="5"/>
      <c r="C535" s="5"/>
      <c r="D535" s="10"/>
    </row>
    <row r="536">
      <c r="A536" s="10"/>
      <c r="B536" s="5"/>
      <c r="C536" s="5"/>
      <c r="D536" s="10"/>
    </row>
    <row r="537">
      <c r="A537" s="10"/>
      <c r="B537" s="5"/>
      <c r="C537" s="5"/>
      <c r="D537" s="10"/>
    </row>
    <row r="538">
      <c r="A538" s="10"/>
      <c r="B538" s="5"/>
      <c r="C538" s="5"/>
      <c r="D538" s="10"/>
    </row>
    <row r="539">
      <c r="A539" s="10"/>
      <c r="B539" s="5"/>
      <c r="C539" s="5"/>
      <c r="D539" s="10"/>
    </row>
    <row r="540">
      <c r="A540" s="10"/>
      <c r="B540" s="5"/>
      <c r="C540" s="5"/>
      <c r="D540" s="10"/>
    </row>
    <row r="541">
      <c r="A541" s="10"/>
      <c r="B541" s="5"/>
      <c r="C541" s="5"/>
      <c r="D541" s="10"/>
    </row>
    <row r="542">
      <c r="A542" s="10"/>
      <c r="B542" s="5"/>
      <c r="C542" s="5"/>
      <c r="D542" s="10"/>
    </row>
    <row r="543">
      <c r="A543" s="10"/>
      <c r="B543" s="5"/>
      <c r="C543" s="5"/>
      <c r="D543" s="10"/>
    </row>
    <row r="544">
      <c r="A544" s="10"/>
      <c r="B544" s="5"/>
      <c r="C544" s="5"/>
      <c r="D544" s="10"/>
    </row>
    <row r="545">
      <c r="A545" s="10"/>
      <c r="B545" s="5"/>
      <c r="C545" s="5"/>
      <c r="D545" s="10"/>
    </row>
    <row r="546">
      <c r="A546" s="10"/>
      <c r="B546" s="5"/>
      <c r="C546" s="5"/>
      <c r="D546" s="10"/>
    </row>
    <row r="547">
      <c r="A547" s="10"/>
      <c r="B547" s="5"/>
      <c r="C547" s="5"/>
      <c r="D547" s="10"/>
    </row>
    <row r="548">
      <c r="A548" s="10"/>
      <c r="B548" s="5"/>
      <c r="C548" s="5"/>
      <c r="D548" s="10"/>
    </row>
    <row r="549">
      <c r="A549" s="10"/>
      <c r="B549" s="5"/>
      <c r="C549" s="5"/>
      <c r="D549" s="10"/>
    </row>
    <row r="550">
      <c r="A550" s="10"/>
      <c r="B550" s="5"/>
      <c r="C550" s="5"/>
      <c r="D550" s="10"/>
    </row>
    <row r="551">
      <c r="A551" s="10"/>
      <c r="B551" s="5"/>
      <c r="C551" s="5"/>
      <c r="D551" s="10"/>
    </row>
    <row r="552">
      <c r="A552" s="10"/>
      <c r="B552" s="5"/>
      <c r="C552" s="5"/>
      <c r="D552" s="10"/>
    </row>
    <row r="553">
      <c r="A553" s="10"/>
      <c r="B553" s="5"/>
      <c r="C553" s="5"/>
      <c r="D553" s="10"/>
    </row>
    <row r="554">
      <c r="A554" s="10"/>
      <c r="B554" s="5"/>
      <c r="C554" s="5"/>
      <c r="D554" s="10"/>
    </row>
    <row r="555">
      <c r="A555" s="10"/>
      <c r="B555" s="5"/>
      <c r="C555" s="5"/>
      <c r="D555" s="10"/>
    </row>
    <row r="556">
      <c r="A556" s="10"/>
      <c r="B556" s="5"/>
      <c r="C556" s="5"/>
      <c r="D556" s="10"/>
    </row>
    <row r="557">
      <c r="A557" s="10"/>
      <c r="B557" s="5"/>
      <c r="C557" s="5"/>
      <c r="D557" s="10"/>
    </row>
    <row r="558">
      <c r="A558" s="10"/>
      <c r="B558" s="5"/>
      <c r="C558" s="5"/>
      <c r="D558" s="10"/>
    </row>
    <row r="559">
      <c r="A559" s="10"/>
      <c r="B559" s="5"/>
      <c r="C559" s="5"/>
      <c r="D559" s="10"/>
    </row>
    <row r="560">
      <c r="A560" s="10"/>
      <c r="B560" s="5"/>
      <c r="C560" s="5"/>
      <c r="D560" s="10"/>
    </row>
    <row r="561">
      <c r="A561" s="10"/>
      <c r="B561" s="5"/>
      <c r="C561" s="5"/>
      <c r="D561" s="10"/>
    </row>
    <row r="562">
      <c r="A562" s="10"/>
      <c r="B562" s="5"/>
      <c r="C562" s="5"/>
      <c r="D562" s="10"/>
    </row>
    <row r="563">
      <c r="A563" s="10"/>
      <c r="B563" s="5"/>
      <c r="C563" s="5"/>
      <c r="D563" s="10"/>
    </row>
    <row r="564">
      <c r="A564" s="10"/>
      <c r="B564" s="5"/>
      <c r="C564" s="5"/>
      <c r="D564" s="10"/>
    </row>
    <row r="565">
      <c r="A565" s="10"/>
      <c r="B565" s="5"/>
      <c r="C565" s="5"/>
      <c r="D565" s="10"/>
    </row>
    <row r="566">
      <c r="A566" s="10"/>
      <c r="B566" s="5"/>
      <c r="C566" s="5"/>
      <c r="D566" s="10"/>
    </row>
    <row r="567">
      <c r="A567" s="10"/>
      <c r="B567" s="5"/>
      <c r="C567" s="5"/>
      <c r="D567" s="10"/>
    </row>
    <row r="568">
      <c r="A568" s="10"/>
      <c r="B568" s="5"/>
      <c r="C568" s="5"/>
      <c r="D568" s="10"/>
    </row>
    <row r="569">
      <c r="A569" s="10"/>
      <c r="B569" s="5"/>
      <c r="C569" s="5"/>
      <c r="D569" s="10"/>
    </row>
    <row r="570">
      <c r="A570" s="10"/>
      <c r="B570" s="5"/>
      <c r="C570" s="5"/>
      <c r="D570" s="10"/>
    </row>
    <row r="571">
      <c r="A571" s="10"/>
      <c r="B571" s="5"/>
      <c r="C571" s="5"/>
      <c r="D571" s="10"/>
    </row>
    <row r="572">
      <c r="A572" s="10"/>
      <c r="B572" s="5"/>
      <c r="C572" s="5"/>
      <c r="D572" s="10"/>
    </row>
    <row r="573">
      <c r="A573" s="10"/>
      <c r="B573" s="5"/>
      <c r="C573" s="5"/>
      <c r="D573" s="10"/>
    </row>
    <row r="574">
      <c r="A574" s="10"/>
      <c r="B574" s="5"/>
      <c r="C574" s="5"/>
      <c r="D574" s="10"/>
    </row>
    <row r="575">
      <c r="A575" s="10"/>
      <c r="B575" s="5"/>
      <c r="C575" s="5"/>
      <c r="D575" s="10"/>
    </row>
    <row r="576">
      <c r="A576" s="10"/>
      <c r="B576" s="5"/>
      <c r="C576" s="5"/>
      <c r="D576" s="10"/>
    </row>
    <row r="577">
      <c r="A577" s="10"/>
      <c r="B577" s="5"/>
      <c r="C577" s="5"/>
      <c r="D577" s="10"/>
    </row>
    <row r="578">
      <c r="A578" s="10"/>
      <c r="B578" s="5"/>
      <c r="C578" s="5"/>
      <c r="D578" s="10"/>
    </row>
    <row r="579">
      <c r="A579" s="10"/>
      <c r="B579" s="5"/>
      <c r="C579" s="5"/>
      <c r="D579" s="10"/>
    </row>
    <row r="580">
      <c r="A580" s="10"/>
      <c r="B580" s="5"/>
      <c r="C580" s="5"/>
      <c r="D580" s="10"/>
    </row>
    <row r="581">
      <c r="A581" s="10"/>
      <c r="B581" s="5"/>
      <c r="C581" s="5"/>
      <c r="D581" s="10"/>
    </row>
    <row r="582">
      <c r="A582" s="10"/>
      <c r="B582" s="5"/>
      <c r="C582" s="5"/>
      <c r="D582" s="10"/>
    </row>
    <row r="583">
      <c r="A583" s="10"/>
      <c r="B583" s="5"/>
      <c r="C583" s="5"/>
      <c r="D583" s="10"/>
    </row>
    <row r="584">
      <c r="A584" s="10"/>
      <c r="B584" s="5"/>
      <c r="C584" s="5"/>
      <c r="D584" s="10"/>
    </row>
    <row r="585">
      <c r="A585" s="10"/>
      <c r="B585" s="5"/>
      <c r="C585" s="5"/>
      <c r="D585" s="10"/>
    </row>
    <row r="586">
      <c r="A586" s="10"/>
      <c r="B586" s="5"/>
      <c r="C586" s="5"/>
      <c r="D586" s="10"/>
    </row>
    <row r="587">
      <c r="A587" s="10"/>
      <c r="B587" s="5"/>
      <c r="C587" s="5"/>
      <c r="D587" s="10"/>
    </row>
    <row r="588">
      <c r="A588" s="10"/>
      <c r="B588" s="5"/>
      <c r="C588" s="5"/>
      <c r="D588" s="10"/>
    </row>
    <row r="589">
      <c r="A589" s="10"/>
      <c r="B589" s="5"/>
      <c r="C589" s="5"/>
      <c r="D589" s="10"/>
    </row>
    <row r="590">
      <c r="A590" s="10"/>
      <c r="B590" s="5"/>
      <c r="C590" s="5"/>
      <c r="D590" s="10"/>
    </row>
    <row r="591">
      <c r="A591" s="10"/>
      <c r="B591" s="5"/>
      <c r="C591" s="5"/>
      <c r="D591" s="10"/>
    </row>
    <row r="592">
      <c r="A592" s="10"/>
      <c r="B592" s="5"/>
      <c r="C592" s="5"/>
      <c r="D592" s="10"/>
    </row>
    <row r="593">
      <c r="A593" s="10"/>
      <c r="B593" s="5"/>
      <c r="C593" s="5"/>
      <c r="D593" s="10"/>
    </row>
    <row r="594">
      <c r="A594" s="10"/>
      <c r="B594" s="5"/>
      <c r="C594" s="5"/>
      <c r="D594" s="10"/>
    </row>
    <row r="595">
      <c r="A595" s="10"/>
      <c r="B595" s="5"/>
      <c r="C595" s="5"/>
      <c r="D595" s="10"/>
    </row>
    <row r="596">
      <c r="A596" s="10"/>
      <c r="B596" s="5"/>
      <c r="C596" s="5"/>
      <c r="D596" s="10"/>
    </row>
    <row r="597">
      <c r="A597" s="10"/>
      <c r="B597" s="5"/>
      <c r="C597" s="5"/>
      <c r="D597" s="10"/>
    </row>
    <row r="598">
      <c r="A598" s="10"/>
      <c r="B598" s="5"/>
      <c r="C598" s="5"/>
      <c r="D598" s="10"/>
    </row>
    <row r="599">
      <c r="A599" s="10"/>
      <c r="B599" s="5"/>
      <c r="C599" s="5"/>
      <c r="D599" s="10"/>
    </row>
    <row r="600">
      <c r="A600" s="10"/>
      <c r="B600" s="5"/>
      <c r="C600" s="5"/>
      <c r="D600" s="10"/>
    </row>
    <row r="601">
      <c r="A601" s="10"/>
      <c r="B601" s="5"/>
      <c r="C601" s="5"/>
      <c r="D601" s="10"/>
    </row>
    <row r="602">
      <c r="A602" s="10"/>
      <c r="B602" s="5"/>
      <c r="C602" s="5"/>
      <c r="D602" s="10"/>
    </row>
    <row r="603">
      <c r="A603" s="10"/>
      <c r="B603" s="5"/>
      <c r="C603" s="5"/>
      <c r="D603" s="10"/>
    </row>
    <row r="604">
      <c r="A604" s="10"/>
      <c r="B604" s="5"/>
      <c r="C604" s="5"/>
      <c r="D604" s="10"/>
    </row>
    <row r="605">
      <c r="A605" s="10"/>
      <c r="B605" s="5"/>
      <c r="C605" s="5"/>
      <c r="D605" s="10"/>
    </row>
    <row r="606">
      <c r="A606" s="10"/>
      <c r="B606" s="5"/>
      <c r="C606" s="5"/>
      <c r="D606" s="10"/>
    </row>
    <row r="607">
      <c r="A607" s="10"/>
      <c r="B607" s="5"/>
      <c r="C607" s="5"/>
      <c r="D607" s="10"/>
    </row>
    <row r="608">
      <c r="A608" s="10"/>
      <c r="B608" s="5"/>
      <c r="C608" s="5"/>
      <c r="D608" s="10"/>
    </row>
    <row r="609">
      <c r="A609" s="10"/>
      <c r="B609" s="5"/>
      <c r="C609" s="5"/>
      <c r="D609" s="10"/>
    </row>
    <row r="610">
      <c r="A610" s="10"/>
      <c r="B610" s="5"/>
      <c r="C610" s="5"/>
      <c r="D610" s="10"/>
    </row>
    <row r="611">
      <c r="A611" s="10"/>
      <c r="B611" s="5"/>
      <c r="C611" s="5"/>
      <c r="D611" s="10"/>
    </row>
    <row r="612">
      <c r="A612" s="10"/>
      <c r="B612" s="5"/>
      <c r="C612" s="5"/>
      <c r="D612" s="10"/>
    </row>
    <row r="613">
      <c r="A613" s="10"/>
      <c r="B613" s="5"/>
      <c r="C613" s="5"/>
      <c r="D613" s="10"/>
    </row>
    <row r="614">
      <c r="A614" s="10"/>
      <c r="B614" s="5"/>
      <c r="C614" s="5"/>
      <c r="D614" s="10"/>
    </row>
    <row r="615">
      <c r="A615" s="10"/>
      <c r="B615" s="5"/>
      <c r="C615" s="5"/>
      <c r="D615" s="10"/>
    </row>
    <row r="616">
      <c r="A616" s="10"/>
      <c r="B616" s="5"/>
      <c r="C616" s="5"/>
      <c r="D616" s="10"/>
    </row>
    <row r="617">
      <c r="A617" s="10"/>
      <c r="B617" s="5"/>
      <c r="C617" s="5"/>
      <c r="D617" s="10"/>
    </row>
    <row r="618">
      <c r="A618" s="10"/>
      <c r="B618" s="5"/>
      <c r="C618" s="5"/>
      <c r="D618" s="10"/>
    </row>
    <row r="619">
      <c r="A619" s="10"/>
      <c r="B619" s="5"/>
      <c r="C619" s="5"/>
      <c r="D619" s="10"/>
    </row>
    <row r="620">
      <c r="A620" s="10"/>
      <c r="B620" s="5"/>
      <c r="C620" s="5"/>
      <c r="D620" s="10"/>
    </row>
    <row r="621">
      <c r="A621" s="10"/>
      <c r="B621" s="5"/>
      <c r="C621" s="5"/>
      <c r="D621" s="10"/>
    </row>
    <row r="622">
      <c r="A622" s="10"/>
      <c r="B622" s="5"/>
      <c r="C622" s="5"/>
      <c r="D622" s="10"/>
    </row>
    <row r="623">
      <c r="A623" s="10"/>
      <c r="B623" s="5"/>
      <c r="C623" s="5"/>
      <c r="D623" s="10"/>
    </row>
    <row r="624">
      <c r="A624" s="10"/>
      <c r="B624" s="5"/>
      <c r="C624" s="5"/>
      <c r="D624" s="10"/>
    </row>
    <row r="625">
      <c r="A625" s="10"/>
      <c r="B625" s="5"/>
      <c r="C625" s="5"/>
      <c r="D625" s="10"/>
    </row>
    <row r="626">
      <c r="A626" s="10"/>
      <c r="B626" s="5"/>
      <c r="C626" s="5"/>
      <c r="D626" s="10"/>
    </row>
    <row r="627">
      <c r="A627" s="10"/>
      <c r="B627" s="5"/>
      <c r="C627" s="5"/>
      <c r="D627" s="10"/>
    </row>
    <row r="628">
      <c r="A628" s="10"/>
      <c r="B628" s="5"/>
      <c r="C628" s="5"/>
      <c r="D628" s="10"/>
    </row>
    <row r="629">
      <c r="A629" s="10"/>
      <c r="B629" s="5"/>
      <c r="C629" s="5"/>
      <c r="D629" s="10"/>
    </row>
    <row r="630">
      <c r="A630" s="10"/>
      <c r="B630" s="5"/>
      <c r="C630" s="5"/>
      <c r="D630" s="10"/>
    </row>
    <row r="631">
      <c r="A631" s="10"/>
      <c r="B631" s="5"/>
      <c r="C631" s="5"/>
      <c r="D631" s="10"/>
    </row>
    <row r="632">
      <c r="A632" s="10"/>
      <c r="B632" s="5"/>
      <c r="C632" s="5"/>
      <c r="D632" s="10"/>
    </row>
    <row r="633">
      <c r="A633" s="10"/>
      <c r="B633" s="5"/>
      <c r="C633" s="5"/>
      <c r="D633" s="10"/>
    </row>
    <row r="634">
      <c r="A634" s="10"/>
      <c r="B634" s="5"/>
      <c r="C634" s="5"/>
      <c r="D634" s="10"/>
    </row>
    <row r="635">
      <c r="A635" s="10"/>
      <c r="B635" s="5"/>
      <c r="C635" s="5"/>
      <c r="D635" s="10"/>
    </row>
    <row r="636">
      <c r="A636" s="10"/>
      <c r="B636" s="5"/>
      <c r="C636" s="5"/>
      <c r="D636" s="10"/>
    </row>
    <row r="637">
      <c r="A637" s="10"/>
      <c r="B637" s="5"/>
      <c r="C637" s="5"/>
      <c r="D637" s="10"/>
    </row>
    <row r="638">
      <c r="A638" s="10"/>
      <c r="B638" s="5"/>
      <c r="C638" s="5"/>
      <c r="D638" s="10"/>
    </row>
    <row r="639">
      <c r="A639" s="10"/>
      <c r="B639" s="5"/>
      <c r="C639" s="5"/>
      <c r="D639" s="10"/>
    </row>
    <row r="640">
      <c r="A640" s="10"/>
      <c r="B640" s="5"/>
      <c r="C640" s="5"/>
      <c r="D640" s="10"/>
    </row>
    <row r="641">
      <c r="A641" s="10"/>
      <c r="B641" s="5"/>
      <c r="C641" s="5"/>
      <c r="D641" s="10"/>
    </row>
    <row r="642">
      <c r="A642" s="10"/>
      <c r="B642" s="5"/>
      <c r="C642" s="5"/>
      <c r="D642" s="10"/>
    </row>
    <row r="643">
      <c r="A643" s="10"/>
      <c r="B643" s="5"/>
      <c r="C643" s="5"/>
      <c r="D643" s="10"/>
    </row>
    <row r="644">
      <c r="A644" s="10"/>
      <c r="B644" s="5"/>
      <c r="C644" s="5"/>
      <c r="D644" s="10"/>
    </row>
    <row r="645">
      <c r="A645" s="10"/>
      <c r="B645" s="5"/>
      <c r="C645" s="5"/>
      <c r="D645" s="10"/>
    </row>
    <row r="646">
      <c r="A646" s="10"/>
      <c r="B646" s="5"/>
      <c r="C646" s="5"/>
      <c r="D646" s="10"/>
    </row>
    <row r="647">
      <c r="A647" s="10"/>
      <c r="B647" s="5"/>
      <c r="C647" s="5"/>
      <c r="D647" s="10"/>
    </row>
    <row r="648">
      <c r="A648" s="10"/>
      <c r="B648" s="5"/>
      <c r="C648" s="5"/>
      <c r="D648" s="10"/>
    </row>
    <row r="649">
      <c r="A649" s="10"/>
      <c r="B649" s="5"/>
      <c r="C649" s="5"/>
      <c r="D649" s="10"/>
    </row>
    <row r="650">
      <c r="A650" s="10"/>
      <c r="B650" s="5"/>
      <c r="C650" s="5"/>
      <c r="D650" s="10"/>
    </row>
    <row r="651">
      <c r="A651" s="10"/>
      <c r="B651" s="5"/>
      <c r="C651" s="5"/>
      <c r="D651" s="10"/>
    </row>
    <row r="652">
      <c r="A652" s="10"/>
      <c r="B652" s="5"/>
      <c r="C652" s="5"/>
      <c r="D652" s="10"/>
    </row>
    <row r="653">
      <c r="A653" s="10"/>
      <c r="B653" s="5"/>
      <c r="C653" s="5"/>
      <c r="D653" s="10"/>
    </row>
    <row r="654">
      <c r="A654" s="10"/>
      <c r="B654" s="5"/>
      <c r="C654" s="5"/>
      <c r="D654" s="10"/>
    </row>
    <row r="655">
      <c r="A655" s="10"/>
      <c r="B655" s="5"/>
      <c r="C655" s="5"/>
      <c r="D655" s="10"/>
    </row>
    <row r="656">
      <c r="A656" s="10"/>
      <c r="B656" s="5"/>
      <c r="C656" s="5"/>
      <c r="D656" s="10"/>
    </row>
    <row r="657">
      <c r="A657" s="10"/>
      <c r="B657" s="5"/>
      <c r="C657" s="5"/>
      <c r="D657" s="10"/>
    </row>
    <row r="658">
      <c r="A658" s="10"/>
      <c r="B658" s="5"/>
      <c r="C658" s="5"/>
      <c r="D658" s="10"/>
    </row>
    <row r="659">
      <c r="A659" s="10"/>
      <c r="B659" s="5"/>
      <c r="C659" s="5"/>
      <c r="D659" s="10"/>
    </row>
    <row r="660">
      <c r="A660" s="10"/>
      <c r="B660" s="5"/>
      <c r="C660" s="5"/>
      <c r="D660" s="10"/>
    </row>
    <row r="661">
      <c r="A661" s="10"/>
      <c r="B661" s="5"/>
      <c r="C661" s="5"/>
      <c r="D661" s="10"/>
    </row>
    <row r="662">
      <c r="A662" s="10"/>
      <c r="B662" s="5"/>
      <c r="C662" s="5"/>
      <c r="D662" s="10"/>
    </row>
    <row r="663">
      <c r="A663" s="10"/>
      <c r="B663" s="5"/>
      <c r="C663" s="5"/>
      <c r="D663" s="10"/>
    </row>
    <row r="664">
      <c r="A664" s="10"/>
      <c r="B664" s="5"/>
      <c r="C664" s="5"/>
      <c r="D664" s="10"/>
    </row>
    <row r="665">
      <c r="A665" s="10"/>
      <c r="B665" s="5"/>
      <c r="C665" s="5"/>
      <c r="D665" s="10"/>
    </row>
    <row r="666">
      <c r="A666" s="10"/>
      <c r="B666" s="5"/>
      <c r="C666" s="5"/>
      <c r="D666" s="10"/>
    </row>
    <row r="667">
      <c r="A667" s="10"/>
      <c r="B667" s="5"/>
      <c r="C667" s="5"/>
      <c r="D667" s="10"/>
    </row>
    <row r="668">
      <c r="A668" s="10"/>
      <c r="B668" s="5"/>
      <c r="C668" s="5"/>
      <c r="D668" s="10"/>
    </row>
    <row r="669">
      <c r="A669" s="10"/>
      <c r="B669" s="5"/>
      <c r="C669" s="5"/>
      <c r="D669" s="10"/>
    </row>
    <row r="670">
      <c r="A670" s="10"/>
      <c r="B670" s="5"/>
      <c r="C670" s="5"/>
      <c r="D670" s="10"/>
    </row>
    <row r="671">
      <c r="A671" s="10"/>
      <c r="B671" s="5"/>
      <c r="C671" s="5"/>
      <c r="D671" s="10"/>
    </row>
    <row r="672">
      <c r="A672" s="10"/>
      <c r="B672" s="5"/>
      <c r="C672" s="5"/>
      <c r="D672" s="10"/>
    </row>
    <row r="673">
      <c r="A673" s="10"/>
      <c r="B673" s="5"/>
      <c r="C673" s="5"/>
      <c r="D673" s="10"/>
    </row>
    <row r="674">
      <c r="A674" s="10"/>
      <c r="B674" s="5"/>
      <c r="C674" s="5"/>
      <c r="D674" s="10"/>
    </row>
    <row r="675">
      <c r="A675" s="10"/>
      <c r="B675" s="5"/>
      <c r="C675" s="5"/>
      <c r="D675" s="10"/>
    </row>
    <row r="676">
      <c r="A676" s="10"/>
      <c r="B676" s="5"/>
      <c r="C676" s="5"/>
      <c r="D676" s="10"/>
    </row>
    <row r="677">
      <c r="A677" s="10"/>
      <c r="B677" s="5"/>
      <c r="C677" s="5"/>
      <c r="D677" s="10"/>
    </row>
    <row r="678">
      <c r="A678" s="10"/>
      <c r="B678" s="5"/>
      <c r="C678" s="5"/>
      <c r="D678" s="10"/>
    </row>
    <row r="679">
      <c r="A679" s="10"/>
      <c r="B679" s="5"/>
      <c r="C679" s="5"/>
      <c r="D679" s="10"/>
    </row>
    <row r="680">
      <c r="A680" s="10"/>
      <c r="B680" s="5"/>
      <c r="C680" s="5"/>
      <c r="D680" s="10"/>
    </row>
    <row r="681">
      <c r="A681" s="10"/>
      <c r="B681" s="5"/>
      <c r="C681" s="5"/>
      <c r="D681" s="10"/>
    </row>
    <row r="682">
      <c r="A682" s="10"/>
      <c r="B682" s="5"/>
      <c r="C682" s="5"/>
      <c r="D682" s="10"/>
    </row>
    <row r="683">
      <c r="A683" s="10"/>
      <c r="B683" s="5"/>
      <c r="C683" s="5"/>
      <c r="D683" s="10"/>
    </row>
    <row r="684">
      <c r="A684" s="10"/>
      <c r="B684" s="5"/>
      <c r="C684" s="5"/>
      <c r="D684" s="10"/>
    </row>
    <row r="685">
      <c r="A685" s="10"/>
      <c r="B685" s="5"/>
      <c r="C685" s="5"/>
      <c r="D685" s="10"/>
    </row>
    <row r="686">
      <c r="A686" s="10"/>
      <c r="B686" s="5"/>
      <c r="C686" s="5"/>
      <c r="D686" s="10"/>
    </row>
    <row r="687">
      <c r="A687" s="10"/>
      <c r="B687" s="5"/>
      <c r="C687" s="5"/>
      <c r="D687" s="10"/>
    </row>
    <row r="688">
      <c r="A688" s="10"/>
      <c r="B688" s="5"/>
      <c r="C688" s="5"/>
      <c r="D688" s="10"/>
    </row>
    <row r="689">
      <c r="A689" s="10"/>
      <c r="B689" s="5"/>
      <c r="C689" s="5"/>
      <c r="D689" s="10"/>
    </row>
    <row r="690">
      <c r="A690" s="10"/>
      <c r="B690" s="5"/>
      <c r="C690" s="5"/>
      <c r="D690" s="10"/>
    </row>
    <row r="691">
      <c r="A691" s="10"/>
      <c r="B691" s="5"/>
      <c r="C691" s="5"/>
      <c r="D691" s="10"/>
    </row>
    <row r="692">
      <c r="A692" s="10"/>
      <c r="B692" s="5"/>
      <c r="C692" s="5"/>
      <c r="D692" s="10"/>
    </row>
    <row r="693">
      <c r="A693" s="10"/>
      <c r="B693" s="5"/>
      <c r="C693" s="5"/>
      <c r="D693" s="10"/>
    </row>
    <row r="694">
      <c r="A694" s="10"/>
      <c r="B694" s="5"/>
      <c r="C694" s="5"/>
      <c r="D694" s="10"/>
    </row>
    <row r="695">
      <c r="A695" s="10"/>
      <c r="B695" s="5"/>
      <c r="C695" s="5"/>
      <c r="D695" s="10"/>
    </row>
    <row r="696">
      <c r="A696" s="10"/>
      <c r="B696" s="5"/>
      <c r="C696" s="5"/>
      <c r="D696" s="10"/>
    </row>
    <row r="697">
      <c r="A697" s="10"/>
      <c r="B697" s="5"/>
      <c r="C697" s="5"/>
      <c r="D697" s="10"/>
    </row>
    <row r="698">
      <c r="A698" s="10"/>
      <c r="B698" s="5"/>
      <c r="C698" s="5"/>
      <c r="D698" s="10"/>
    </row>
    <row r="699">
      <c r="A699" s="10"/>
      <c r="B699" s="5"/>
      <c r="C699" s="5"/>
      <c r="D699" s="10"/>
    </row>
    <row r="700">
      <c r="A700" s="10"/>
      <c r="B700" s="5"/>
      <c r="C700" s="5"/>
      <c r="D700" s="10"/>
    </row>
    <row r="701">
      <c r="A701" s="10"/>
      <c r="B701" s="5"/>
      <c r="C701" s="5"/>
      <c r="D701" s="10"/>
    </row>
    <row r="702">
      <c r="A702" s="10"/>
      <c r="B702" s="5"/>
      <c r="C702" s="5"/>
      <c r="D702" s="10"/>
    </row>
    <row r="703">
      <c r="A703" s="10"/>
      <c r="B703" s="5"/>
      <c r="C703" s="5"/>
      <c r="D703" s="10"/>
    </row>
    <row r="704">
      <c r="A704" s="10"/>
      <c r="B704" s="5"/>
      <c r="C704" s="5"/>
      <c r="D704" s="10"/>
    </row>
    <row r="705">
      <c r="A705" s="10"/>
      <c r="B705" s="5"/>
      <c r="C705" s="5"/>
      <c r="D705" s="10"/>
    </row>
    <row r="706">
      <c r="A706" s="10"/>
      <c r="B706" s="5"/>
      <c r="C706" s="5"/>
      <c r="D706" s="10"/>
    </row>
    <row r="707">
      <c r="A707" s="10"/>
      <c r="B707" s="5"/>
      <c r="C707" s="5"/>
      <c r="D707" s="10"/>
    </row>
    <row r="708">
      <c r="A708" s="10"/>
      <c r="B708" s="5"/>
      <c r="C708" s="5"/>
      <c r="D708" s="10"/>
    </row>
    <row r="709">
      <c r="A709" s="10"/>
      <c r="B709" s="5"/>
      <c r="C709" s="5"/>
      <c r="D709" s="10"/>
    </row>
    <row r="710">
      <c r="A710" s="10"/>
      <c r="B710" s="5"/>
      <c r="C710" s="5"/>
      <c r="D710" s="10"/>
    </row>
    <row r="711">
      <c r="A711" s="10"/>
      <c r="B711" s="5"/>
      <c r="C711" s="5"/>
      <c r="D711" s="10"/>
    </row>
    <row r="712">
      <c r="A712" s="10"/>
      <c r="B712" s="5"/>
      <c r="C712" s="5"/>
      <c r="D712" s="10"/>
    </row>
    <row r="713">
      <c r="A713" s="10"/>
      <c r="B713" s="5"/>
      <c r="C713" s="5"/>
      <c r="D713" s="10"/>
    </row>
    <row r="714">
      <c r="A714" s="10"/>
      <c r="B714" s="5"/>
      <c r="C714" s="5"/>
      <c r="D714" s="10"/>
    </row>
    <row r="715">
      <c r="A715" s="10"/>
      <c r="B715" s="5"/>
      <c r="C715" s="5"/>
      <c r="D715" s="10"/>
    </row>
    <row r="716">
      <c r="A716" s="10"/>
      <c r="B716" s="5"/>
      <c r="C716" s="5"/>
      <c r="D716" s="10"/>
    </row>
    <row r="717">
      <c r="A717" s="10"/>
      <c r="B717" s="5"/>
      <c r="C717" s="5"/>
      <c r="D717" s="10"/>
    </row>
    <row r="718">
      <c r="A718" s="10"/>
      <c r="B718" s="5"/>
      <c r="C718" s="5"/>
      <c r="D718" s="10"/>
    </row>
    <row r="719">
      <c r="A719" s="10"/>
      <c r="B719" s="5"/>
      <c r="C719" s="5"/>
      <c r="D719" s="10"/>
    </row>
    <row r="720">
      <c r="A720" s="10"/>
      <c r="B720" s="5"/>
      <c r="C720" s="5"/>
      <c r="D720" s="10"/>
    </row>
    <row r="721">
      <c r="A721" s="10"/>
      <c r="B721" s="5"/>
      <c r="C721" s="5"/>
      <c r="D721" s="10"/>
    </row>
    <row r="722">
      <c r="A722" s="10"/>
      <c r="B722" s="5"/>
      <c r="C722" s="5"/>
      <c r="D722" s="10"/>
    </row>
    <row r="723">
      <c r="A723" s="10"/>
      <c r="B723" s="5"/>
      <c r="C723" s="5"/>
      <c r="D723" s="10"/>
    </row>
    <row r="724">
      <c r="A724" s="10"/>
      <c r="B724" s="5"/>
      <c r="C724" s="5"/>
      <c r="D724" s="10"/>
    </row>
    <row r="725">
      <c r="A725" s="10"/>
      <c r="B725" s="5"/>
      <c r="C725" s="5"/>
      <c r="D725" s="10"/>
    </row>
    <row r="726">
      <c r="A726" s="10"/>
      <c r="B726" s="5"/>
      <c r="C726" s="5"/>
      <c r="D726" s="10"/>
    </row>
    <row r="727">
      <c r="A727" s="10"/>
      <c r="B727" s="5"/>
      <c r="C727" s="5"/>
      <c r="D727" s="10"/>
    </row>
    <row r="728">
      <c r="A728" s="10"/>
      <c r="B728" s="5"/>
      <c r="C728" s="5"/>
      <c r="D728" s="10"/>
    </row>
    <row r="729">
      <c r="A729" s="10"/>
      <c r="B729" s="5"/>
      <c r="C729" s="5"/>
      <c r="D729" s="10"/>
    </row>
    <row r="730">
      <c r="A730" s="10"/>
      <c r="B730" s="5"/>
      <c r="C730" s="5"/>
      <c r="D730" s="10"/>
    </row>
    <row r="731">
      <c r="A731" s="10"/>
      <c r="B731" s="5"/>
      <c r="C731" s="5"/>
      <c r="D731" s="10"/>
    </row>
    <row r="732">
      <c r="A732" s="10"/>
      <c r="B732" s="5"/>
      <c r="C732" s="5"/>
      <c r="D732" s="10"/>
    </row>
    <row r="733">
      <c r="A733" s="10"/>
      <c r="B733" s="5"/>
      <c r="C733" s="5"/>
      <c r="D733" s="10"/>
    </row>
    <row r="734">
      <c r="A734" s="10"/>
      <c r="B734" s="5"/>
      <c r="C734" s="5"/>
      <c r="D734" s="10"/>
    </row>
    <row r="735">
      <c r="A735" s="10"/>
      <c r="B735" s="5"/>
      <c r="C735" s="5"/>
      <c r="D735" s="10"/>
    </row>
    <row r="736">
      <c r="A736" s="10"/>
      <c r="B736" s="5"/>
      <c r="C736" s="5"/>
      <c r="D736" s="10"/>
    </row>
    <row r="737">
      <c r="A737" s="10"/>
      <c r="B737" s="5"/>
      <c r="C737" s="5"/>
      <c r="D737" s="10"/>
    </row>
    <row r="738">
      <c r="A738" s="10"/>
      <c r="B738" s="5"/>
      <c r="C738" s="5"/>
      <c r="D738" s="10"/>
    </row>
    <row r="739">
      <c r="A739" s="10"/>
      <c r="B739" s="5"/>
      <c r="C739" s="5"/>
      <c r="D739" s="10"/>
    </row>
    <row r="740">
      <c r="A740" s="10"/>
      <c r="B740" s="5"/>
      <c r="C740" s="5"/>
      <c r="D740" s="10"/>
    </row>
    <row r="741">
      <c r="A741" s="10"/>
      <c r="B741" s="5"/>
      <c r="C741" s="5"/>
      <c r="D741" s="10"/>
    </row>
    <row r="742">
      <c r="A742" s="10"/>
      <c r="B742" s="5"/>
      <c r="C742" s="5"/>
      <c r="D742" s="10"/>
    </row>
    <row r="743">
      <c r="A743" s="10"/>
      <c r="B743" s="5"/>
      <c r="C743" s="5"/>
      <c r="D743" s="10"/>
    </row>
    <row r="744">
      <c r="A744" s="10"/>
      <c r="B744" s="5"/>
      <c r="C744" s="5"/>
      <c r="D744" s="10"/>
    </row>
    <row r="745">
      <c r="A745" s="10"/>
      <c r="B745" s="5"/>
      <c r="C745" s="5"/>
      <c r="D745" s="10"/>
    </row>
    <row r="746">
      <c r="A746" s="10"/>
      <c r="B746" s="5"/>
      <c r="C746" s="5"/>
      <c r="D746" s="10"/>
    </row>
    <row r="747">
      <c r="A747" s="10"/>
      <c r="B747" s="5"/>
      <c r="C747" s="5"/>
      <c r="D747" s="10"/>
    </row>
    <row r="748">
      <c r="A748" s="10"/>
      <c r="B748" s="5"/>
      <c r="C748" s="5"/>
      <c r="D748" s="10"/>
    </row>
    <row r="749">
      <c r="A749" s="10"/>
      <c r="B749" s="5"/>
      <c r="C749" s="5"/>
      <c r="D749" s="10"/>
    </row>
    <row r="750">
      <c r="A750" s="10"/>
      <c r="B750" s="5"/>
      <c r="C750" s="5"/>
      <c r="D750" s="10"/>
    </row>
    <row r="751">
      <c r="A751" s="10"/>
      <c r="B751" s="5"/>
      <c r="C751" s="5"/>
      <c r="D751" s="10"/>
    </row>
    <row r="752">
      <c r="A752" s="10"/>
      <c r="B752" s="5"/>
      <c r="C752" s="5"/>
      <c r="D752" s="10"/>
    </row>
    <row r="753">
      <c r="A753" s="10"/>
      <c r="B753" s="5"/>
      <c r="C753" s="5"/>
      <c r="D753" s="10"/>
    </row>
    <row r="754">
      <c r="A754" s="10"/>
      <c r="B754" s="5"/>
      <c r="C754" s="5"/>
      <c r="D754" s="10"/>
    </row>
    <row r="755">
      <c r="A755" s="10"/>
      <c r="B755" s="5"/>
      <c r="C755" s="5"/>
      <c r="D755" s="10"/>
    </row>
    <row r="756">
      <c r="A756" s="10"/>
      <c r="B756" s="5"/>
      <c r="C756" s="5"/>
      <c r="D756" s="10"/>
    </row>
    <row r="757">
      <c r="A757" s="10"/>
      <c r="B757" s="5"/>
      <c r="C757" s="5"/>
      <c r="D757" s="10"/>
    </row>
    <row r="758">
      <c r="A758" s="10"/>
      <c r="B758" s="5"/>
      <c r="C758" s="5"/>
      <c r="D758" s="10"/>
    </row>
    <row r="759">
      <c r="A759" s="10"/>
      <c r="B759" s="5"/>
      <c r="C759" s="5"/>
      <c r="D759" s="10"/>
    </row>
    <row r="760">
      <c r="A760" s="10"/>
      <c r="B760" s="5"/>
      <c r="C760" s="5"/>
      <c r="D760" s="10"/>
    </row>
    <row r="761">
      <c r="A761" s="10"/>
      <c r="B761" s="5"/>
      <c r="C761" s="5"/>
      <c r="D761" s="10"/>
    </row>
    <row r="762">
      <c r="A762" s="10"/>
      <c r="B762" s="5"/>
      <c r="C762" s="5"/>
      <c r="D762" s="10"/>
    </row>
    <row r="763">
      <c r="A763" s="10"/>
      <c r="B763" s="5"/>
      <c r="C763" s="5"/>
      <c r="D763" s="10"/>
    </row>
    <row r="764">
      <c r="A764" s="10"/>
      <c r="B764" s="5"/>
      <c r="C764" s="5"/>
      <c r="D764" s="10"/>
    </row>
    <row r="765">
      <c r="A765" s="10"/>
      <c r="B765" s="5"/>
      <c r="C765" s="5"/>
      <c r="D765" s="10"/>
    </row>
    <row r="766">
      <c r="A766" s="10"/>
      <c r="B766" s="5"/>
      <c r="C766" s="5"/>
      <c r="D766" s="10"/>
    </row>
    <row r="767">
      <c r="A767" s="10"/>
      <c r="B767" s="5"/>
      <c r="C767" s="5"/>
      <c r="D767" s="10"/>
    </row>
    <row r="768">
      <c r="A768" s="10"/>
      <c r="B768" s="5"/>
      <c r="C768" s="5"/>
      <c r="D768" s="10"/>
    </row>
    <row r="769">
      <c r="A769" s="10"/>
      <c r="B769" s="5"/>
      <c r="C769" s="5"/>
      <c r="D769" s="10"/>
    </row>
    <row r="770">
      <c r="A770" s="10"/>
      <c r="B770" s="5"/>
      <c r="C770" s="5"/>
      <c r="D770" s="10"/>
    </row>
    <row r="771">
      <c r="A771" s="10"/>
      <c r="B771" s="5"/>
      <c r="C771" s="5"/>
      <c r="D771" s="10"/>
    </row>
    <row r="772">
      <c r="A772" s="10"/>
      <c r="B772" s="5"/>
      <c r="C772" s="5"/>
      <c r="D772" s="10"/>
    </row>
    <row r="773">
      <c r="A773" s="10"/>
      <c r="B773" s="5"/>
      <c r="C773" s="5"/>
      <c r="D773" s="10"/>
    </row>
    <row r="774">
      <c r="A774" s="10"/>
      <c r="B774" s="5"/>
      <c r="C774" s="5"/>
      <c r="D774" s="10"/>
    </row>
    <row r="775">
      <c r="A775" s="10"/>
      <c r="B775" s="5"/>
      <c r="C775" s="5"/>
      <c r="D775" s="10"/>
    </row>
    <row r="776">
      <c r="A776" s="10"/>
      <c r="B776" s="5"/>
      <c r="C776" s="5"/>
      <c r="D776" s="10"/>
    </row>
    <row r="777">
      <c r="A777" s="10"/>
      <c r="B777" s="5"/>
      <c r="C777" s="5"/>
      <c r="D777" s="10"/>
    </row>
    <row r="778">
      <c r="A778" s="10"/>
      <c r="B778" s="5"/>
      <c r="C778" s="5"/>
      <c r="D778" s="10"/>
    </row>
    <row r="779">
      <c r="A779" s="10"/>
      <c r="B779" s="5"/>
      <c r="C779" s="5"/>
      <c r="D779" s="10"/>
    </row>
    <row r="780">
      <c r="A780" s="10"/>
      <c r="B780" s="5"/>
      <c r="C780" s="5"/>
      <c r="D780" s="10"/>
    </row>
    <row r="781">
      <c r="A781" s="10"/>
      <c r="B781" s="5"/>
      <c r="C781" s="5"/>
      <c r="D781" s="10"/>
    </row>
    <row r="782">
      <c r="A782" s="10"/>
      <c r="B782" s="5"/>
      <c r="C782" s="5"/>
      <c r="D782" s="10"/>
    </row>
    <row r="783">
      <c r="A783" s="10"/>
      <c r="B783" s="5"/>
      <c r="C783" s="5"/>
      <c r="D783" s="10"/>
    </row>
    <row r="784">
      <c r="A784" s="10"/>
      <c r="B784" s="5"/>
      <c r="C784" s="5"/>
      <c r="D784" s="10"/>
    </row>
    <row r="785">
      <c r="A785" s="10"/>
      <c r="B785" s="5"/>
      <c r="C785" s="5"/>
      <c r="D785" s="10"/>
    </row>
    <row r="786">
      <c r="A786" s="10"/>
      <c r="B786" s="5"/>
      <c r="C786" s="5"/>
      <c r="D786" s="10"/>
    </row>
    <row r="787">
      <c r="A787" s="10"/>
      <c r="B787" s="5"/>
      <c r="C787" s="5"/>
      <c r="D787" s="10"/>
    </row>
    <row r="788">
      <c r="A788" s="10"/>
      <c r="B788" s="5"/>
      <c r="C788" s="5"/>
      <c r="D788" s="10"/>
    </row>
    <row r="789">
      <c r="A789" s="10"/>
      <c r="B789" s="5"/>
      <c r="C789" s="5"/>
      <c r="D789" s="10"/>
    </row>
    <row r="790">
      <c r="A790" s="10"/>
      <c r="B790" s="5"/>
      <c r="C790" s="5"/>
      <c r="D790" s="10"/>
    </row>
    <row r="791">
      <c r="A791" s="10"/>
      <c r="B791" s="5"/>
      <c r="C791" s="5"/>
      <c r="D791" s="10"/>
    </row>
    <row r="792">
      <c r="A792" s="10"/>
      <c r="B792" s="5"/>
      <c r="C792" s="5"/>
      <c r="D792" s="10"/>
    </row>
    <row r="793">
      <c r="A793" s="10"/>
      <c r="B793" s="5"/>
      <c r="C793" s="5"/>
      <c r="D793" s="10"/>
    </row>
    <row r="794">
      <c r="A794" s="10"/>
      <c r="B794" s="5"/>
      <c r="C794" s="5"/>
      <c r="D794" s="10"/>
    </row>
    <row r="795">
      <c r="A795" s="10"/>
      <c r="B795" s="5"/>
      <c r="C795" s="5"/>
      <c r="D795" s="10"/>
    </row>
    <row r="796">
      <c r="A796" s="10"/>
      <c r="B796" s="5"/>
      <c r="C796" s="5"/>
      <c r="D796" s="10"/>
    </row>
    <row r="797">
      <c r="A797" s="10"/>
      <c r="B797" s="5"/>
      <c r="C797" s="5"/>
      <c r="D797" s="10"/>
    </row>
    <row r="798">
      <c r="A798" s="10"/>
      <c r="B798" s="5"/>
      <c r="C798" s="5"/>
      <c r="D798" s="10"/>
    </row>
    <row r="799">
      <c r="A799" s="10"/>
      <c r="B799" s="5"/>
      <c r="C799" s="5"/>
      <c r="D799" s="10"/>
    </row>
    <row r="800">
      <c r="A800" s="10"/>
      <c r="B800" s="5"/>
      <c r="C800" s="5"/>
      <c r="D800" s="10"/>
    </row>
    <row r="801">
      <c r="A801" s="10"/>
      <c r="B801" s="5"/>
      <c r="C801" s="5"/>
      <c r="D801" s="10"/>
    </row>
    <row r="802">
      <c r="A802" s="10"/>
      <c r="B802" s="5"/>
      <c r="C802" s="5"/>
      <c r="D802" s="10"/>
    </row>
    <row r="803">
      <c r="A803" s="10"/>
      <c r="B803" s="5"/>
      <c r="C803" s="5"/>
      <c r="D803" s="10"/>
    </row>
    <row r="804">
      <c r="A804" s="10"/>
      <c r="B804" s="5"/>
      <c r="C804" s="5"/>
      <c r="D804" s="10"/>
    </row>
    <row r="805">
      <c r="A805" s="10"/>
      <c r="B805" s="5"/>
      <c r="C805" s="5"/>
      <c r="D805" s="10"/>
    </row>
    <row r="806">
      <c r="A806" s="10"/>
      <c r="B806" s="5"/>
      <c r="C806" s="5"/>
      <c r="D806" s="10"/>
    </row>
    <row r="807">
      <c r="A807" s="10"/>
      <c r="B807" s="5"/>
      <c r="C807" s="5"/>
      <c r="D807" s="10"/>
    </row>
    <row r="808">
      <c r="A808" s="10"/>
      <c r="B808" s="5"/>
      <c r="C808" s="5"/>
      <c r="D808" s="10"/>
    </row>
    <row r="809">
      <c r="A809" s="10"/>
      <c r="B809" s="5"/>
      <c r="C809" s="5"/>
      <c r="D809" s="10"/>
    </row>
    <row r="810">
      <c r="A810" s="10"/>
      <c r="B810" s="5"/>
      <c r="C810" s="5"/>
      <c r="D810" s="10"/>
    </row>
    <row r="811">
      <c r="A811" s="10"/>
      <c r="B811" s="5"/>
      <c r="C811" s="5"/>
      <c r="D811" s="10"/>
    </row>
    <row r="812">
      <c r="A812" s="10"/>
      <c r="B812" s="5"/>
      <c r="C812" s="5"/>
      <c r="D812" s="10"/>
    </row>
    <row r="813">
      <c r="A813" s="10"/>
      <c r="B813" s="5"/>
      <c r="C813" s="5"/>
      <c r="D813" s="10"/>
    </row>
    <row r="814">
      <c r="A814" s="10"/>
      <c r="B814" s="5"/>
      <c r="C814" s="5"/>
      <c r="D814" s="10"/>
    </row>
    <row r="815">
      <c r="A815" s="10"/>
      <c r="B815" s="5"/>
      <c r="C815" s="5"/>
      <c r="D815" s="10"/>
    </row>
    <row r="816">
      <c r="A816" s="10"/>
      <c r="B816" s="5"/>
      <c r="C816" s="5"/>
      <c r="D816" s="10"/>
    </row>
    <row r="817">
      <c r="A817" s="10"/>
      <c r="B817" s="5"/>
      <c r="C817" s="5"/>
      <c r="D817" s="10"/>
    </row>
    <row r="818">
      <c r="A818" s="10"/>
      <c r="B818" s="5"/>
      <c r="C818" s="5"/>
      <c r="D818" s="10"/>
    </row>
    <row r="819">
      <c r="A819" s="10"/>
      <c r="B819" s="5"/>
      <c r="C819" s="5"/>
      <c r="D819" s="10"/>
    </row>
    <row r="820">
      <c r="A820" s="10"/>
      <c r="B820" s="5"/>
      <c r="C820" s="5"/>
      <c r="D820" s="10"/>
    </row>
    <row r="821">
      <c r="A821" s="10"/>
      <c r="B821" s="5"/>
      <c r="C821" s="5"/>
      <c r="D821" s="10"/>
    </row>
    <row r="822">
      <c r="A822" s="10"/>
      <c r="B822" s="5"/>
      <c r="C822" s="5"/>
      <c r="D822" s="10"/>
    </row>
    <row r="823">
      <c r="A823" s="10"/>
      <c r="B823" s="5"/>
      <c r="C823" s="5"/>
      <c r="D823" s="10"/>
    </row>
    <row r="824">
      <c r="A824" s="10"/>
      <c r="B824" s="5"/>
      <c r="C824" s="5"/>
      <c r="D824" s="10"/>
    </row>
    <row r="825">
      <c r="A825" s="10"/>
      <c r="B825" s="5"/>
      <c r="C825" s="5"/>
      <c r="D825" s="10"/>
    </row>
    <row r="826">
      <c r="A826" s="10"/>
      <c r="B826" s="5"/>
      <c r="C826" s="5"/>
      <c r="D826" s="10"/>
    </row>
    <row r="827">
      <c r="A827" s="10"/>
      <c r="B827" s="5"/>
      <c r="C827" s="5"/>
      <c r="D827" s="10"/>
    </row>
    <row r="828">
      <c r="A828" s="10"/>
      <c r="B828" s="5"/>
      <c r="C828" s="5"/>
      <c r="D828" s="10"/>
    </row>
    <row r="829">
      <c r="A829" s="10"/>
      <c r="B829" s="5"/>
      <c r="C829" s="5"/>
      <c r="D829" s="10"/>
    </row>
    <row r="830">
      <c r="A830" s="10"/>
      <c r="B830" s="5"/>
      <c r="C830" s="5"/>
      <c r="D830" s="10"/>
    </row>
    <row r="831">
      <c r="A831" s="10"/>
      <c r="B831" s="5"/>
      <c r="C831" s="5"/>
      <c r="D831" s="10"/>
    </row>
    <row r="832">
      <c r="A832" s="10"/>
      <c r="B832" s="5"/>
      <c r="C832" s="5"/>
      <c r="D832" s="10"/>
    </row>
    <row r="833">
      <c r="A833" s="10"/>
      <c r="B833" s="5"/>
      <c r="C833" s="5"/>
      <c r="D833" s="10"/>
    </row>
    <row r="834">
      <c r="A834" s="10"/>
      <c r="B834" s="5"/>
      <c r="C834" s="5"/>
      <c r="D834" s="10"/>
    </row>
    <row r="835">
      <c r="A835" s="10"/>
      <c r="B835" s="5"/>
      <c r="C835" s="5"/>
      <c r="D835" s="10"/>
    </row>
    <row r="836">
      <c r="A836" s="10"/>
      <c r="B836" s="5"/>
      <c r="C836" s="5"/>
      <c r="D836" s="10"/>
    </row>
    <row r="837">
      <c r="A837" s="10"/>
      <c r="B837" s="5"/>
      <c r="C837" s="5"/>
      <c r="D837" s="10"/>
    </row>
    <row r="838">
      <c r="A838" s="10"/>
      <c r="B838" s="5"/>
      <c r="C838" s="5"/>
      <c r="D838" s="10"/>
    </row>
    <row r="839">
      <c r="A839" s="10"/>
      <c r="B839" s="5"/>
      <c r="C839" s="5"/>
      <c r="D839" s="10"/>
    </row>
    <row r="840">
      <c r="A840" s="10"/>
      <c r="B840" s="5"/>
      <c r="C840" s="5"/>
      <c r="D840" s="10"/>
    </row>
    <row r="841">
      <c r="A841" s="10"/>
      <c r="B841" s="5"/>
      <c r="C841" s="5"/>
      <c r="D841" s="10"/>
    </row>
    <row r="842">
      <c r="A842" s="10"/>
      <c r="B842" s="5"/>
      <c r="C842" s="5"/>
      <c r="D842" s="10"/>
    </row>
    <row r="843">
      <c r="A843" s="10"/>
      <c r="B843" s="5"/>
      <c r="C843" s="5"/>
      <c r="D843" s="10"/>
    </row>
    <row r="844">
      <c r="A844" s="10"/>
      <c r="B844" s="5"/>
      <c r="C844" s="5"/>
      <c r="D844" s="10"/>
    </row>
    <row r="845">
      <c r="A845" s="10"/>
      <c r="B845" s="5"/>
      <c r="C845" s="5"/>
      <c r="D845" s="10"/>
    </row>
    <row r="846">
      <c r="A846" s="10"/>
      <c r="B846" s="5"/>
      <c r="C846" s="5"/>
      <c r="D846" s="10"/>
    </row>
    <row r="847">
      <c r="A847" s="10"/>
      <c r="B847" s="5"/>
      <c r="C847" s="5"/>
      <c r="D847" s="10"/>
    </row>
    <row r="848">
      <c r="A848" s="10"/>
      <c r="B848" s="5"/>
      <c r="C848" s="5"/>
      <c r="D848" s="10"/>
    </row>
    <row r="849">
      <c r="A849" s="10"/>
      <c r="B849" s="5"/>
      <c r="C849" s="5"/>
      <c r="D849" s="10"/>
    </row>
    <row r="850">
      <c r="A850" s="10"/>
      <c r="B850" s="5"/>
      <c r="C850" s="5"/>
      <c r="D850" s="10"/>
    </row>
    <row r="851">
      <c r="A851" s="10"/>
      <c r="B851" s="5"/>
      <c r="C851" s="5"/>
      <c r="D851" s="10"/>
    </row>
    <row r="852">
      <c r="A852" s="10"/>
      <c r="B852" s="5"/>
      <c r="C852" s="5"/>
      <c r="D852" s="10"/>
    </row>
    <row r="853">
      <c r="A853" s="10"/>
      <c r="B853" s="5"/>
      <c r="C853" s="5"/>
      <c r="D853" s="10"/>
    </row>
    <row r="854">
      <c r="A854" s="10"/>
      <c r="B854" s="5"/>
      <c r="C854" s="5"/>
      <c r="D854" s="10"/>
    </row>
    <row r="855">
      <c r="A855" s="10"/>
      <c r="B855" s="5"/>
      <c r="C855" s="5"/>
      <c r="D855" s="10"/>
    </row>
    <row r="856">
      <c r="A856" s="10"/>
      <c r="B856" s="5"/>
      <c r="C856" s="5"/>
      <c r="D856" s="10"/>
    </row>
    <row r="857">
      <c r="A857" s="10"/>
      <c r="B857" s="5"/>
      <c r="C857" s="5"/>
      <c r="D857" s="10"/>
    </row>
    <row r="858">
      <c r="A858" s="10"/>
      <c r="B858" s="5"/>
      <c r="C858" s="5"/>
      <c r="D858" s="10"/>
    </row>
    <row r="859">
      <c r="A859" s="10"/>
      <c r="B859" s="5"/>
      <c r="C859" s="5"/>
      <c r="D859" s="10"/>
    </row>
    <row r="860">
      <c r="A860" s="10"/>
      <c r="B860" s="5"/>
      <c r="C860" s="5"/>
      <c r="D860" s="10"/>
    </row>
    <row r="861">
      <c r="A861" s="10"/>
      <c r="B861" s="5"/>
      <c r="C861" s="5"/>
      <c r="D861" s="10"/>
    </row>
    <row r="862">
      <c r="A862" s="10"/>
      <c r="B862" s="5"/>
      <c r="C862" s="5"/>
      <c r="D862" s="10"/>
    </row>
    <row r="863">
      <c r="A863" s="10"/>
      <c r="B863" s="5"/>
      <c r="C863" s="5"/>
      <c r="D863" s="10"/>
    </row>
    <row r="864">
      <c r="A864" s="10"/>
      <c r="B864" s="5"/>
      <c r="C864" s="5"/>
      <c r="D864" s="10"/>
    </row>
    <row r="865">
      <c r="A865" s="10"/>
      <c r="B865" s="5"/>
      <c r="C865" s="5"/>
      <c r="D865" s="10"/>
    </row>
    <row r="866">
      <c r="A866" s="10"/>
      <c r="B866" s="5"/>
      <c r="C866" s="5"/>
      <c r="D866" s="10"/>
    </row>
    <row r="867">
      <c r="A867" s="10"/>
      <c r="B867" s="5"/>
      <c r="C867" s="5"/>
      <c r="D867" s="10"/>
    </row>
    <row r="868">
      <c r="A868" s="10"/>
      <c r="B868" s="5"/>
      <c r="C868" s="5"/>
      <c r="D868" s="10"/>
    </row>
    <row r="869">
      <c r="A869" s="10"/>
      <c r="B869" s="5"/>
      <c r="C869" s="5"/>
      <c r="D869" s="10"/>
    </row>
    <row r="870">
      <c r="A870" s="10"/>
      <c r="B870" s="5"/>
      <c r="C870" s="5"/>
      <c r="D870" s="10"/>
    </row>
    <row r="871">
      <c r="A871" s="10"/>
      <c r="B871" s="5"/>
      <c r="C871" s="5"/>
      <c r="D871" s="10"/>
    </row>
    <row r="872">
      <c r="A872" s="10"/>
      <c r="B872" s="5"/>
      <c r="C872" s="5"/>
      <c r="D872" s="10"/>
    </row>
    <row r="873">
      <c r="A873" s="10"/>
      <c r="B873" s="5"/>
      <c r="C873" s="5"/>
      <c r="D873" s="10"/>
    </row>
    <row r="874">
      <c r="A874" s="10"/>
      <c r="B874" s="5"/>
      <c r="C874" s="5"/>
      <c r="D874" s="10"/>
    </row>
    <row r="875">
      <c r="A875" s="10"/>
      <c r="B875" s="5"/>
      <c r="C875" s="5"/>
      <c r="D875" s="10"/>
    </row>
    <row r="876">
      <c r="A876" s="10"/>
      <c r="B876" s="5"/>
      <c r="C876" s="5"/>
      <c r="D876" s="10"/>
    </row>
    <row r="877">
      <c r="A877" s="10"/>
      <c r="B877" s="5"/>
      <c r="C877" s="5"/>
      <c r="D877" s="10"/>
    </row>
    <row r="878">
      <c r="A878" s="10"/>
      <c r="B878" s="5"/>
      <c r="C878" s="5"/>
      <c r="D878" s="10"/>
    </row>
    <row r="879">
      <c r="A879" s="10"/>
      <c r="B879" s="5"/>
      <c r="C879" s="5"/>
      <c r="D879" s="10"/>
    </row>
    <row r="880">
      <c r="A880" s="10"/>
      <c r="B880" s="5"/>
      <c r="C880" s="5"/>
      <c r="D880" s="10"/>
    </row>
    <row r="881">
      <c r="A881" s="10"/>
      <c r="B881" s="5"/>
      <c r="C881" s="5"/>
      <c r="D881" s="10"/>
    </row>
    <row r="882">
      <c r="A882" s="10"/>
      <c r="B882" s="5"/>
      <c r="C882" s="5"/>
      <c r="D882" s="10"/>
    </row>
    <row r="883">
      <c r="A883" s="10"/>
      <c r="B883" s="5"/>
      <c r="C883" s="5"/>
      <c r="D883" s="10"/>
    </row>
    <row r="884">
      <c r="A884" s="10"/>
      <c r="B884" s="5"/>
      <c r="C884" s="5"/>
      <c r="D884" s="10"/>
    </row>
    <row r="885">
      <c r="A885" s="10"/>
      <c r="B885" s="5"/>
      <c r="C885" s="5"/>
      <c r="D885" s="10"/>
    </row>
    <row r="886">
      <c r="A886" s="10"/>
      <c r="B886" s="5"/>
      <c r="C886" s="5"/>
      <c r="D886" s="10"/>
    </row>
    <row r="887">
      <c r="A887" s="10"/>
      <c r="B887" s="5"/>
      <c r="C887" s="5"/>
      <c r="D887" s="10"/>
    </row>
    <row r="888">
      <c r="A888" s="10"/>
      <c r="B888" s="5"/>
      <c r="C888" s="5"/>
      <c r="D888" s="10"/>
    </row>
    <row r="889">
      <c r="A889" s="10"/>
      <c r="B889" s="5"/>
      <c r="C889" s="5"/>
      <c r="D889" s="10"/>
    </row>
    <row r="890">
      <c r="A890" s="10"/>
      <c r="B890" s="5"/>
      <c r="C890" s="5"/>
      <c r="D890" s="10"/>
    </row>
    <row r="891">
      <c r="A891" s="10"/>
      <c r="B891" s="5"/>
      <c r="C891" s="5"/>
      <c r="D891" s="10"/>
    </row>
    <row r="892">
      <c r="A892" s="10"/>
      <c r="B892" s="5"/>
      <c r="C892" s="5"/>
      <c r="D892" s="10"/>
    </row>
    <row r="893">
      <c r="A893" s="10"/>
      <c r="B893" s="5"/>
      <c r="C893" s="5"/>
      <c r="D893" s="10"/>
    </row>
    <row r="894">
      <c r="A894" s="10"/>
      <c r="B894" s="5"/>
      <c r="C894" s="5"/>
      <c r="D894" s="10"/>
    </row>
    <row r="895">
      <c r="A895" s="10"/>
      <c r="B895" s="5"/>
      <c r="C895" s="5"/>
      <c r="D895" s="10"/>
    </row>
    <row r="896">
      <c r="A896" s="10"/>
      <c r="B896" s="5"/>
      <c r="C896" s="5"/>
      <c r="D896" s="10"/>
    </row>
    <row r="897">
      <c r="A897" s="10"/>
      <c r="B897" s="5"/>
      <c r="C897" s="5"/>
      <c r="D897" s="10"/>
    </row>
    <row r="898">
      <c r="A898" s="10"/>
      <c r="B898" s="5"/>
      <c r="C898" s="5"/>
      <c r="D898" s="10"/>
    </row>
    <row r="899">
      <c r="A899" s="10"/>
      <c r="B899" s="5"/>
      <c r="C899" s="5"/>
      <c r="D899" s="10"/>
    </row>
    <row r="900">
      <c r="A900" s="10"/>
      <c r="B900" s="5"/>
      <c r="C900" s="5"/>
      <c r="D900" s="10"/>
    </row>
    <row r="901">
      <c r="A901" s="10"/>
      <c r="B901" s="5"/>
      <c r="C901" s="5"/>
      <c r="D901" s="10"/>
    </row>
    <row r="902">
      <c r="A902" s="10"/>
      <c r="B902" s="5"/>
      <c r="C902" s="5"/>
      <c r="D902" s="10"/>
    </row>
    <row r="903">
      <c r="A903" s="10"/>
      <c r="B903" s="5"/>
      <c r="C903" s="5"/>
      <c r="D903" s="10"/>
    </row>
    <row r="904">
      <c r="A904" s="10"/>
      <c r="B904" s="5"/>
      <c r="C904" s="5"/>
      <c r="D904" s="10"/>
    </row>
    <row r="905">
      <c r="A905" s="10"/>
      <c r="B905" s="5"/>
      <c r="C905" s="5"/>
      <c r="D905" s="10"/>
    </row>
    <row r="906">
      <c r="A906" s="10"/>
      <c r="B906" s="5"/>
      <c r="C906" s="5"/>
      <c r="D906" s="10"/>
    </row>
    <row r="907">
      <c r="A907" s="10"/>
      <c r="B907" s="5"/>
      <c r="C907" s="5"/>
      <c r="D907" s="10"/>
    </row>
    <row r="908">
      <c r="A908" s="10"/>
      <c r="B908" s="5"/>
      <c r="C908" s="5"/>
      <c r="D908" s="10"/>
    </row>
    <row r="909">
      <c r="A909" s="10"/>
      <c r="B909" s="5"/>
      <c r="C909" s="5"/>
      <c r="D909" s="10"/>
    </row>
    <row r="910">
      <c r="A910" s="10"/>
      <c r="B910" s="5"/>
      <c r="C910" s="5"/>
      <c r="D910" s="10"/>
    </row>
    <row r="911">
      <c r="A911" s="10"/>
      <c r="B911" s="5"/>
      <c r="C911" s="5"/>
      <c r="D911" s="10"/>
    </row>
    <row r="912">
      <c r="A912" s="10"/>
      <c r="B912" s="5"/>
      <c r="C912" s="5"/>
      <c r="D912" s="10"/>
    </row>
    <row r="913">
      <c r="A913" s="10"/>
      <c r="B913" s="5"/>
      <c r="C913" s="5"/>
      <c r="D913" s="10"/>
    </row>
    <row r="914">
      <c r="A914" s="10"/>
      <c r="B914" s="5"/>
      <c r="C914" s="5"/>
      <c r="D914" s="10"/>
    </row>
    <row r="915">
      <c r="A915" s="10"/>
      <c r="B915" s="5"/>
      <c r="C915" s="5"/>
      <c r="D915" s="10"/>
    </row>
    <row r="916">
      <c r="A916" s="10"/>
      <c r="B916" s="5"/>
      <c r="C916" s="5"/>
      <c r="D916" s="10"/>
    </row>
    <row r="917">
      <c r="A917" s="10"/>
      <c r="B917" s="5"/>
      <c r="C917" s="5"/>
      <c r="D917" s="10"/>
    </row>
    <row r="918">
      <c r="A918" s="10"/>
      <c r="B918" s="5"/>
      <c r="C918" s="5"/>
      <c r="D918" s="10"/>
    </row>
    <row r="919">
      <c r="A919" s="10"/>
      <c r="B919" s="5"/>
      <c r="C919" s="5"/>
      <c r="D919" s="10"/>
    </row>
    <row r="920">
      <c r="A920" s="10"/>
      <c r="B920" s="5"/>
      <c r="C920" s="5"/>
      <c r="D920" s="10"/>
    </row>
    <row r="921">
      <c r="A921" s="10"/>
      <c r="B921" s="5"/>
      <c r="C921" s="5"/>
      <c r="D921" s="10"/>
    </row>
    <row r="922">
      <c r="A922" s="10"/>
      <c r="B922" s="5"/>
      <c r="C922" s="5"/>
      <c r="D922" s="10"/>
    </row>
    <row r="923">
      <c r="A923" s="10"/>
      <c r="B923" s="5"/>
      <c r="C923" s="5"/>
      <c r="D923" s="10"/>
    </row>
    <row r="924">
      <c r="A924" s="10"/>
      <c r="B924" s="5"/>
      <c r="C924" s="5"/>
      <c r="D924" s="10"/>
    </row>
    <row r="925">
      <c r="A925" s="10"/>
      <c r="B925" s="5"/>
      <c r="C925" s="5"/>
      <c r="D925" s="10"/>
    </row>
    <row r="926">
      <c r="A926" s="10"/>
      <c r="B926" s="5"/>
      <c r="C926" s="5"/>
      <c r="D926" s="10"/>
    </row>
    <row r="927">
      <c r="A927" s="10"/>
      <c r="B927" s="5"/>
      <c r="C927" s="5"/>
      <c r="D927" s="10"/>
    </row>
    <row r="928">
      <c r="A928" s="10"/>
      <c r="B928" s="5"/>
      <c r="C928" s="5"/>
      <c r="D928" s="10"/>
    </row>
    <row r="929">
      <c r="A929" s="10"/>
      <c r="B929" s="5"/>
      <c r="C929" s="5"/>
      <c r="D929" s="10"/>
    </row>
    <row r="930">
      <c r="A930" s="10"/>
      <c r="B930" s="5"/>
      <c r="C930" s="5"/>
      <c r="D930" s="10"/>
    </row>
    <row r="931">
      <c r="A931" s="10"/>
      <c r="B931" s="5"/>
      <c r="C931" s="5"/>
      <c r="D931" s="10"/>
    </row>
    <row r="932">
      <c r="A932" s="10"/>
      <c r="B932" s="5"/>
      <c r="C932" s="5"/>
      <c r="D932" s="10"/>
    </row>
    <row r="933">
      <c r="A933" s="10"/>
      <c r="B933" s="5"/>
      <c r="C933" s="5"/>
      <c r="D933" s="10"/>
    </row>
    <row r="934">
      <c r="A934" s="10"/>
      <c r="B934" s="5"/>
      <c r="C934" s="5"/>
      <c r="D934" s="10"/>
    </row>
    <row r="935">
      <c r="A935" s="10"/>
      <c r="B935" s="5"/>
      <c r="C935" s="5"/>
      <c r="D935" s="10"/>
    </row>
    <row r="936">
      <c r="A936" s="10"/>
      <c r="B936" s="5"/>
      <c r="C936" s="5"/>
      <c r="D936" s="10"/>
    </row>
    <row r="937">
      <c r="A937" s="10"/>
      <c r="B937" s="5"/>
      <c r="C937" s="5"/>
      <c r="D937" s="10"/>
    </row>
    <row r="938">
      <c r="A938" s="10"/>
      <c r="B938" s="5"/>
      <c r="C938" s="5"/>
      <c r="D938" s="10"/>
    </row>
    <row r="939">
      <c r="A939" s="10"/>
      <c r="B939" s="5"/>
      <c r="C939" s="5"/>
      <c r="D939" s="10"/>
    </row>
    <row r="940">
      <c r="A940" s="10"/>
      <c r="B940" s="5"/>
      <c r="C940" s="5"/>
      <c r="D940" s="10"/>
    </row>
    <row r="941">
      <c r="A941" s="10"/>
      <c r="B941" s="5"/>
      <c r="C941" s="5"/>
      <c r="D941" s="10"/>
    </row>
    <row r="942">
      <c r="A942" s="10"/>
      <c r="B942" s="5"/>
      <c r="C942" s="5"/>
      <c r="D942" s="10"/>
    </row>
    <row r="943">
      <c r="A943" s="10"/>
      <c r="B943" s="5"/>
      <c r="C943" s="5"/>
      <c r="D943" s="10"/>
    </row>
    <row r="944">
      <c r="A944" s="10"/>
      <c r="B944" s="5"/>
      <c r="C944" s="5"/>
      <c r="D944" s="10"/>
    </row>
    <row r="945">
      <c r="A945" s="10"/>
      <c r="B945" s="5"/>
      <c r="C945" s="5"/>
      <c r="D945" s="10"/>
    </row>
    <row r="946">
      <c r="A946" s="10"/>
      <c r="B946" s="5"/>
      <c r="C946" s="5"/>
      <c r="D946" s="10"/>
    </row>
    <row r="947">
      <c r="A947" s="10"/>
      <c r="B947" s="5"/>
      <c r="C947" s="5"/>
      <c r="D947" s="10"/>
    </row>
    <row r="948">
      <c r="A948" s="10"/>
      <c r="B948" s="5"/>
      <c r="C948" s="5"/>
      <c r="D948" s="10"/>
    </row>
    <row r="949">
      <c r="A949" s="10"/>
      <c r="B949" s="5"/>
      <c r="C949" s="5"/>
      <c r="D949" s="10"/>
    </row>
    <row r="950">
      <c r="A950" s="10"/>
      <c r="B950" s="5"/>
      <c r="C950" s="5"/>
      <c r="D950" s="10"/>
    </row>
    <row r="951">
      <c r="A951" s="10"/>
      <c r="B951" s="5"/>
      <c r="C951" s="5"/>
      <c r="D951" s="10"/>
    </row>
    <row r="952">
      <c r="A952" s="10"/>
      <c r="B952" s="5"/>
      <c r="C952" s="5"/>
      <c r="D952" s="10"/>
    </row>
    <row r="953">
      <c r="A953" s="10"/>
      <c r="B953" s="5"/>
      <c r="C953" s="5"/>
      <c r="D953" s="10"/>
    </row>
    <row r="954">
      <c r="A954" s="10"/>
      <c r="B954" s="5"/>
      <c r="C954" s="5"/>
      <c r="D954" s="10"/>
    </row>
    <row r="955">
      <c r="A955" s="10"/>
      <c r="B955" s="5"/>
      <c r="C955" s="5"/>
      <c r="D955" s="10"/>
    </row>
    <row r="956">
      <c r="A956" s="10"/>
      <c r="B956" s="5"/>
      <c r="C956" s="5"/>
      <c r="D956" s="10"/>
    </row>
    <row r="957">
      <c r="A957" s="10"/>
      <c r="B957" s="5"/>
      <c r="C957" s="5"/>
      <c r="D957" s="10"/>
    </row>
    <row r="958">
      <c r="A958" s="10"/>
      <c r="B958" s="5"/>
      <c r="C958" s="5"/>
      <c r="D958" s="10"/>
    </row>
    <row r="959">
      <c r="A959" s="10"/>
      <c r="B959" s="5"/>
      <c r="C959" s="5"/>
      <c r="D959" s="10"/>
    </row>
    <row r="960">
      <c r="A960" s="10"/>
      <c r="B960" s="5"/>
      <c r="C960" s="5"/>
      <c r="D960" s="10"/>
    </row>
    <row r="961">
      <c r="A961" s="10"/>
      <c r="B961" s="5"/>
      <c r="C961" s="5"/>
      <c r="D961" s="10"/>
    </row>
    <row r="962">
      <c r="A962" s="10"/>
      <c r="B962" s="5"/>
      <c r="C962" s="5"/>
      <c r="D962" s="10"/>
    </row>
    <row r="963">
      <c r="A963" s="10"/>
      <c r="B963" s="5"/>
      <c r="C963" s="5"/>
      <c r="D963" s="10"/>
    </row>
    <row r="964">
      <c r="A964" s="10"/>
      <c r="B964" s="5"/>
      <c r="C964" s="5"/>
      <c r="D964" s="10"/>
    </row>
    <row r="965">
      <c r="A965" s="10"/>
      <c r="B965" s="5"/>
      <c r="C965" s="5"/>
      <c r="D965" s="10"/>
    </row>
    <row r="966">
      <c r="A966" s="10"/>
      <c r="B966" s="5"/>
      <c r="C966" s="5"/>
      <c r="D966" s="10"/>
    </row>
    <row r="967">
      <c r="A967" s="10"/>
      <c r="B967" s="5"/>
      <c r="C967" s="5"/>
      <c r="D967" s="10"/>
    </row>
    <row r="968">
      <c r="A968" s="10"/>
      <c r="B968" s="5"/>
      <c r="C968" s="5"/>
      <c r="D968" s="1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42.13"/>
    <col customWidth="1" min="3" max="3" width="20.63"/>
    <col customWidth="1" min="4" max="4" width="7.5"/>
    <col customWidth="1" min="5" max="5" width="20.88"/>
    <col customWidth="1" min="7" max="7" width="17.5"/>
  </cols>
  <sheetData>
    <row r="1">
      <c r="B1" s="1">
        <v>68.0</v>
      </c>
    </row>
    <row r="2">
      <c r="A2" s="1" t="s">
        <v>354</v>
      </c>
      <c r="B2" s="1">
        <v>43.0</v>
      </c>
    </row>
    <row r="3">
      <c r="A3" s="1" t="s">
        <v>356</v>
      </c>
      <c r="B3" s="1">
        <v>50.0</v>
      </c>
    </row>
    <row r="5">
      <c r="A5" s="1" t="s">
        <v>359</v>
      </c>
      <c r="B5" s="1">
        <v>117.0</v>
      </c>
    </row>
    <row r="6">
      <c r="A6" s="1" t="s">
        <v>361</v>
      </c>
      <c r="B6" s="1">
        <v>60.0</v>
      </c>
    </row>
    <row r="7">
      <c r="A7" s="1" t="s">
        <v>362</v>
      </c>
      <c r="B7" s="1">
        <v>83.0</v>
      </c>
      <c r="E7" s="1"/>
      <c r="F7" s="1"/>
    </row>
    <row r="8">
      <c r="A8" s="1" t="s">
        <v>364</v>
      </c>
      <c r="B8" s="1">
        <v>11.0</v>
      </c>
    </row>
    <row r="11">
      <c r="A11" s="1" t="s">
        <v>367</v>
      </c>
      <c r="B11" s="1">
        <v>10.0</v>
      </c>
    </row>
    <row r="12">
      <c r="A12" s="1" t="s">
        <v>369</v>
      </c>
      <c r="B12" s="1">
        <v>30.0</v>
      </c>
    </row>
    <row r="14">
      <c r="A14" s="1" t="s">
        <v>371</v>
      </c>
      <c r="B14" s="1">
        <v>20.0</v>
      </c>
    </row>
    <row r="16">
      <c r="A16" s="1" t="s">
        <v>373</v>
      </c>
      <c r="B16" s="1">
        <v>70.0</v>
      </c>
    </row>
    <row r="17">
      <c r="A17" s="1" t="s">
        <v>375</v>
      </c>
      <c r="B17" s="1">
        <v>38.0</v>
      </c>
    </row>
    <row r="18">
      <c r="A18" s="1" t="s">
        <v>377</v>
      </c>
      <c r="B18" s="1">
        <v>110.0</v>
      </c>
    </row>
    <row r="19">
      <c r="A19" s="1" t="s">
        <v>378</v>
      </c>
      <c r="B19" s="1">
        <v>40.0</v>
      </c>
    </row>
    <row r="20">
      <c r="A20" s="1" t="s">
        <v>380</v>
      </c>
      <c r="B20" s="1">
        <v>9.0</v>
      </c>
    </row>
    <row r="21">
      <c r="A21" s="1"/>
      <c r="B21" s="1"/>
    </row>
    <row r="24">
      <c r="A24" s="1" t="s">
        <v>382</v>
      </c>
      <c r="B24" s="1">
        <v>6.0</v>
      </c>
      <c r="C24" s="1"/>
    </row>
    <row r="26">
      <c r="C26" s="1"/>
    </row>
    <row r="27">
      <c r="A27" s="1" t="s">
        <v>383</v>
      </c>
      <c r="B27" s="1">
        <v>27.0</v>
      </c>
    </row>
    <row r="28">
      <c r="A28" s="1" t="s">
        <v>384</v>
      </c>
      <c r="B28" s="1">
        <v>100.0</v>
      </c>
    </row>
    <row r="29">
      <c r="A29" s="1"/>
      <c r="B29" s="1"/>
    </row>
    <row r="30">
      <c r="A30" s="1" t="s">
        <v>385</v>
      </c>
      <c r="B30" s="1">
        <v>7.0</v>
      </c>
    </row>
    <row r="31">
      <c r="A31" s="1" t="s">
        <v>386</v>
      </c>
      <c r="B31" s="1">
        <v>40.0</v>
      </c>
    </row>
    <row r="32">
      <c r="A32" s="1" t="s">
        <v>387</v>
      </c>
      <c r="B32" s="1">
        <v>10.0</v>
      </c>
    </row>
    <row r="33">
      <c r="A33" s="1" t="s">
        <v>388</v>
      </c>
      <c r="B33" s="1">
        <v>232.0</v>
      </c>
    </row>
    <row r="34">
      <c r="A34" s="1" t="s">
        <v>389</v>
      </c>
      <c r="B34" s="1">
        <v>10.0</v>
      </c>
    </row>
    <row r="43">
      <c r="A43" s="1"/>
    </row>
    <row r="45">
      <c r="A45" s="1"/>
      <c r="B45" s="1"/>
    </row>
    <row r="47">
      <c r="C47" s="1"/>
    </row>
    <row r="48">
      <c r="C48" s="1"/>
    </row>
    <row r="49">
      <c r="C49" s="1"/>
    </row>
    <row r="53">
      <c r="A53" s="1"/>
      <c r="B53" s="1"/>
    </row>
    <row r="60">
      <c r="D60" s="1"/>
    </row>
    <row r="61">
      <c r="B61" s="1"/>
      <c r="C61" s="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3.38"/>
    <col customWidth="1" min="3" max="3" width="19.88"/>
    <col customWidth="1" min="5" max="5" width="26.38"/>
  </cols>
  <sheetData>
    <row r="1">
      <c r="A1" s="1" t="s">
        <v>390</v>
      </c>
    </row>
    <row r="2">
      <c r="A2" s="1" t="s">
        <v>391</v>
      </c>
      <c r="B2" s="1">
        <v>100.0</v>
      </c>
    </row>
    <row r="3">
      <c r="A3" s="1" t="s">
        <v>392</v>
      </c>
      <c r="B3" s="1">
        <v>1430.0</v>
      </c>
    </row>
    <row r="4">
      <c r="A4" s="1" t="s">
        <v>393</v>
      </c>
      <c r="B4" s="1">
        <v>162.0</v>
      </c>
    </row>
    <row r="5">
      <c r="A5" s="1" t="s">
        <v>394</v>
      </c>
      <c r="B5" s="1">
        <v>100.0</v>
      </c>
    </row>
    <row r="6">
      <c r="A6" s="1" t="s">
        <v>395</v>
      </c>
      <c r="B6" s="1">
        <v>968.0</v>
      </c>
    </row>
    <row r="7">
      <c r="A7" s="1" t="s">
        <v>396</v>
      </c>
      <c r="B7" s="1">
        <v>2061.0</v>
      </c>
    </row>
    <row r="8">
      <c r="B8" s="79"/>
      <c r="C8" s="80"/>
    </row>
    <row r="9">
      <c r="B9" s="79"/>
      <c r="C9" s="80"/>
    </row>
    <row r="10">
      <c r="B10" s="79"/>
      <c r="C10" s="80"/>
    </row>
    <row r="11">
      <c r="B11" s="79"/>
      <c r="C11" s="80"/>
    </row>
    <row r="12">
      <c r="B12" s="79"/>
      <c r="C12" s="80"/>
    </row>
    <row r="14">
      <c r="A14" s="1" t="s">
        <v>397</v>
      </c>
      <c r="B14" s="1">
        <v>187.0</v>
      </c>
    </row>
    <row r="15">
      <c r="A15" s="1" t="s">
        <v>398</v>
      </c>
      <c r="B15" s="1">
        <v>290.0</v>
      </c>
    </row>
    <row r="16">
      <c r="A16" s="1" t="s">
        <v>399</v>
      </c>
      <c r="B16" s="1">
        <v>1012.0</v>
      </c>
    </row>
    <row r="18">
      <c r="A18" s="1" t="s">
        <v>400</v>
      </c>
      <c r="B18" s="1">
        <v>550.0</v>
      </c>
    </row>
    <row r="19">
      <c r="A19" s="1" t="s">
        <v>401</v>
      </c>
      <c r="B19" s="1">
        <v>2169.0</v>
      </c>
    </row>
    <row r="21">
      <c r="A21" s="1" t="s">
        <v>402</v>
      </c>
      <c r="B21" s="54">
        <v>1335.0</v>
      </c>
      <c r="C21" s="80"/>
      <c r="D21" s="8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30.0"/>
    <col customWidth="1" min="3" max="3" width="21.88"/>
    <col customWidth="1" min="4" max="4" width="26.0"/>
    <col customWidth="1" min="7" max="7" width="20.0"/>
    <col customWidth="1" min="8" max="8" width="19.63"/>
  </cols>
  <sheetData>
    <row r="1">
      <c r="A1" s="1" t="s">
        <v>403</v>
      </c>
      <c r="B1" s="1">
        <v>80.0</v>
      </c>
    </row>
    <row r="2">
      <c r="A2" s="1" t="s">
        <v>404</v>
      </c>
      <c r="B2" s="1">
        <v>59.0</v>
      </c>
      <c r="G2" s="1"/>
    </row>
    <row r="3">
      <c r="A3" s="1" t="s">
        <v>405</v>
      </c>
      <c r="B3" s="1">
        <v>70.0</v>
      </c>
    </row>
    <row r="4">
      <c r="A4" s="1" t="s">
        <v>406</v>
      </c>
      <c r="B4" s="1">
        <v>50.0</v>
      </c>
    </row>
    <row r="5">
      <c r="A5" s="1" t="s">
        <v>407</v>
      </c>
      <c r="B5" s="1">
        <v>20.0</v>
      </c>
    </row>
    <row r="6">
      <c r="A6" s="1" t="s">
        <v>408</v>
      </c>
      <c r="B6" s="1">
        <v>150.0</v>
      </c>
    </row>
    <row r="7">
      <c r="A7" s="1" t="s">
        <v>409</v>
      </c>
      <c r="B7" s="1">
        <v>110.0</v>
      </c>
    </row>
    <row r="9">
      <c r="A9" s="1" t="s">
        <v>410</v>
      </c>
      <c r="B9" s="1">
        <v>100.0</v>
      </c>
    </row>
    <row r="10">
      <c r="A10" s="1" t="s">
        <v>411</v>
      </c>
      <c r="B10" s="1">
        <v>50.0</v>
      </c>
    </row>
    <row r="11">
      <c r="A11" s="1" t="s">
        <v>412</v>
      </c>
      <c r="B11" s="1">
        <v>150.0</v>
      </c>
    </row>
    <row r="12">
      <c r="A12" s="1" t="s">
        <v>413</v>
      </c>
      <c r="B12" s="1">
        <v>160.0</v>
      </c>
    </row>
    <row r="13">
      <c r="A13" s="1" t="s">
        <v>414</v>
      </c>
      <c r="B13" s="1">
        <v>30.0</v>
      </c>
    </row>
    <row r="14">
      <c r="A14" s="1" t="s">
        <v>415</v>
      </c>
      <c r="B14" s="1">
        <v>50.0</v>
      </c>
    </row>
    <row r="16">
      <c r="A16" s="1" t="s">
        <v>416</v>
      </c>
      <c r="B16" s="1">
        <v>30.0</v>
      </c>
    </row>
    <row r="17">
      <c r="A17" s="1" t="s">
        <v>417</v>
      </c>
      <c r="B17" s="1">
        <v>40.0</v>
      </c>
    </row>
    <row r="19">
      <c r="A19" s="1" t="s">
        <v>418</v>
      </c>
      <c r="B19" s="1">
        <v>180.0</v>
      </c>
    </row>
    <row r="20">
      <c r="A20" s="1" t="s">
        <v>419</v>
      </c>
      <c r="B20" s="1">
        <v>540.0</v>
      </c>
    </row>
    <row r="21">
      <c r="A21" s="1" t="s">
        <v>420</v>
      </c>
      <c r="B21" s="1">
        <v>70.0</v>
      </c>
    </row>
    <row r="22">
      <c r="A22" s="1" t="s">
        <v>421</v>
      </c>
      <c r="B22" s="1">
        <v>10.0</v>
      </c>
    </row>
    <row r="25">
      <c r="A25" s="1" t="s">
        <v>422</v>
      </c>
      <c r="B25" s="1">
        <v>50.0</v>
      </c>
    </row>
    <row r="26">
      <c r="A26" s="1" t="s">
        <v>423</v>
      </c>
      <c r="B26" s="1">
        <v>430.0</v>
      </c>
    </row>
    <row r="27">
      <c r="A27" s="1" t="s">
        <v>424</v>
      </c>
      <c r="B27" s="1">
        <v>290.0</v>
      </c>
    </row>
    <row r="28">
      <c r="A28" s="1" t="s">
        <v>425</v>
      </c>
      <c r="B28" s="1">
        <v>500.0</v>
      </c>
    </row>
    <row r="29">
      <c r="A29" s="1" t="s">
        <v>426</v>
      </c>
      <c r="B29" s="1">
        <v>20.0</v>
      </c>
    </row>
    <row r="30">
      <c r="A30" s="1" t="s">
        <v>427</v>
      </c>
      <c r="B30" s="1">
        <v>20.0</v>
      </c>
    </row>
    <row r="33">
      <c r="J33" s="1" t="s">
        <v>2</v>
      </c>
    </row>
    <row r="34">
      <c r="A34" s="1"/>
      <c r="B34" s="1"/>
    </row>
    <row r="36">
      <c r="A36" s="1"/>
      <c r="B36" s="1"/>
    </row>
    <row r="37">
      <c r="A37" s="1" t="s">
        <v>428</v>
      </c>
      <c r="B37" s="1">
        <v>30.0</v>
      </c>
    </row>
    <row r="39">
      <c r="A39" s="1" t="s">
        <v>429</v>
      </c>
      <c r="B39" s="1">
        <v>40.0</v>
      </c>
    </row>
    <row r="40">
      <c r="A40" s="1" t="s">
        <v>430</v>
      </c>
      <c r="B40" s="1">
        <v>60.0</v>
      </c>
    </row>
    <row r="42">
      <c r="A42" s="1" t="s">
        <v>431</v>
      </c>
      <c r="B42" s="1">
        <v>30.0</v>
      </c>
    </row>
    <row r="43">
      <c r="A43" s="1" t="s">
        <v>432</v>
      </c>
      <c r="B43" s="1">
        <v>270.0</v>
      </c>
    </row>
    <row r="46">
      <c r="A46" s="1" t="s">
        <v>433</v>
      </c>
      <c r="B46" s="1">
        <v>90.0</v>
      </c>
    </row>
    <row r="47">
      <c r="A47" s="1" t="s">
        <v>434</v>
      </c>
      <c r="B47" s="1">
        <v>70.0</v>
      </c>
    </row>
    <row r="48">
      <c r="A48" s="1" t="s">
        <v>435</v>
      </c>
      <c r="B48" s="1">
        <v>90.0</v>
      </c>
    </row>
    <row r="51">
      <c r="A51" s="1" t="s">
        <v>436</v>
      </c>
      <c r="B51" s="1">
        <v>120.0</v>
      </c>
    </row>
    <row r="53">
      <c r="A53" s="1" t="s">
        <v>437</v>
      </c>
      <c r="B53" s="1">
        <v>130.0</v>
      </c>
    </row>
    <row r="55">
      <c r="A55" s="1" t="s">
        <v>438</v>
      </c>
      <c r="B55" s="1">
        <v>50.0</v>
      </c>
    </row>
    <row r="57">
      <c r="A57" s="1"/>
      <c r="B57" s="1"/>
    </row>
    <row r="58">
      <c r="A58" s="1"/>
      <c r="B58" s="1"/>
    </row>
    <row r="63">
      <c r="A63" s="1"/>
      <c r="B63" s="1"/>
    </row>
    <row r="67">
      <c r="A67" s="1"/>
      <c r="B67" s="1"/>
    </row>
    <row r="88">
      <c r="A88" s="1"/>
      <c r="B88" s="1"/>
    </row>
    <row r="100">
      <c r="F100" s="1"/>
      <c r="G100" s="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8.38"/>
    <col customWidth="1" min="3" max="3" width="30.5"/>
    <col customWidth="1" min="4" max="4" width="12.25"/>
    <col customWidth="1" min="5" max="5" width="34.75"/>
    <col customWidth="1" min="7" max="7" width="25.75"/>
  </cols>
  <sheetData>
    <row r="2">
      <c r="A2" s="1" t="s">
        <v>439</v>
      </c>
      <c r="B2" s="1">
        <v>131.0</v>
      </c>
    </row>
    <row r="3">
      <c r="A3" s="1" t="s">
        <v>440</v>
      </c>
      <c r="B3" s="1">
        <v>248.0</v>
      </c>
      <c r="C3" s="1"/>
      <c r="D3" s="1"/>
    </row>
    <row r="4">
      <c r="A4" s="1" t="s">
        <v>441</v>
      </c>
      <c r="B4" s="1">
        <v>277.0</v>
      </c>
      <c r="C4" s="1"/>
      <c r="D4" s="1"/>
    </row>
    <row r="5">
      <c r="A5" s="1" t="s">
        <v>442</v>
      </c>
      <c r="B5" s="1">
        <v>20.0</v>
      </c>
      <c r="C5" s="1"/>
      <c r="D5" s="1"/>
    </row>
    <row r="6">
      <c r="A6" s="1"/>
      <c r="B6" s="1"/>
      <c r="C6" s="1"/>
      <c r="D6" s="1"/>
    </row>
    <row r="8">
      <c r="A8" s="1" t="s">
        <v>443</v>
      </c>
      <c r="B8" s="1">
        <v>64.0</v>
      </c>
    </row>
    <row r="10">
      <c r="A10" s="1" t="s">
        <v>444</v>
      </c>
      <c r="B10" s="1">
        <v>50.0</v>
      </c>
    </row>
    <row r="11">
      <c r="A11" s="1" t="s">
        <v>445</v>
      </c>
      <c r="B11" s="1">
        <v>100.0</v>
      </c>
    </row>
    <row r="12">
      <c r="A12" s="1" t="s">
        <v>446</v>
      </c>
      <c r="B12" s="1">
        <v>180.0</v>
      </c>
    </row>
    <row r="14">
      <c r="A14" s="1" t="s">
        <v>447</v>
      </c>
      <c r="B14" s="1">
        <v>140.0</v>
      </c>
    </row>
    <row r="17">
      <c r="A17" s="1" t="s">
        <v>448</v>
      </c>
      <c r="B17" s="1">
        <v>120.0</v>
      </c>
    </row>
    <row r="19">
      <c r="A19" s="1" t="s">
        <v>449</v>
      </c>
      <c r="B19" s="1">
        <v>181.0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3.75"/>
    <col customWidth="1" min="3" max="3" width="19.13"/>
  </cols>
  <sheetData>
    <row r="4">
      <c r="A4" s="1" t="s">
        <v>450</v>
      </c>
      <c r="B4" s="1">
        <v>10.0</v>
      </c>
    </row>
    <row r="6">
      <c r="A6" s="1" t="s">
        <v>451</v>
      </c>
      <c r="B6" s="1">
        <v>50.0</v>
      </c>
    </row>
    <row r="7">
      <c r="A7" s="1" t="s">
        <v>452</v>
      </c>
      <c r="B7" s="1">
        <v>20.0</v>
      </c>
    </row>
    <row r="8">
      <c r="A8" s="1" t="s">
        <v>453</v>
      </c>
      <c r="B8" s="1">
        <v>20.0</v>
      </c>
    </row>
    <row r="10">
      <c r="A10" s="1" t="s">
        <v>454</v>
      </c>
      <c r="B10" s="1">
        <v>10.0</v>
      </c>
      <c r="C10" s="1"/>
    </row>
    <row r="11">
      <c r="C11" s="1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7.0"/>
    <col customWidth="1" min="4" max="4" width="27.5"/>
  </cols>
  <sheetData>
    <row r="1">
      <c r="A1" s="1" t="s">
        <v>455</v>
      </c>
      <c r="B1" s="1">
        <v>49.0</v>
      </c>
    </row>
    <row r="2">
      <c r="A2" s="1" t="s">
        <v>456</v>
      </c>
      <c r="B2" s="1">
        <v>10.0</v>
      </c>
    </row>
    <row r="4">
      <c r="A4" s="1"/>
    </row>
    <row r="5">
      <c r="A5" s="1" t="s">
        <v>457</v>
      </c>
    </row>
    <row r="6">
      <c r="A6" s="1" t="s">
        <v>458</v>
      </c>
      <c r="B6" s="1">
        <v>14.0</v>
      </c>
    </row>
    <row r="7">
      <c r="A7" s="1" t="s">
        <v>459</v>
      </c>
      <c r="B7" s="1">
        <v>12.0</v>
      </c>
    </row>
    <row r="10">
      <c r="A10" s="1" t="s">
        <v>460</v>
      </c>
      <c r="B10" s="1">
        <v>9.0</v>
      </c>
    </row>
    <row r="13">
      <c r="A13" s="1" t="s">
        <v>461</v>
      </c>
      <c r="B13" s="1">
        <v>75.0</v>
      </c>
    </row>
    <row r="14">
      <c r="A14" s="1" t="s">
        <v>462</v>
      </c>
      <c r="B14" s="1">
        <v>21.0</v>
      </c>
    </row>
    <row r="15">
      <c r="A15" s="1" t="s">
        <v>463</v>
      </c>
      <c r="B15" s="1">
        <v>50.0</v>
      </c>
    </row>
    <row r="16">
      <c r="A16" s="1" t="s">
        <v>464</v>
      </c>
      <c r="B16" s="1">
        <v>68.0</v>
      </c>
    </row>
    <row r="17">
      <c r="A17" s="1" t="s">
        <v>465</v>
      </c>
      <c r="B17" s="1">
        <v>20.0</v>
      </c>
    </row>
    <row r="18">
      <c r="A18" s="1" t="s">
        <v>466</v>
      </c>
      <c r="B18" s="1">
        <v>30.0</v>
      </c>
    </row>
    <row r="21">
      <c r="A21" s="1" t="s">
        <v>467</v>
      </c>
      <c r="B21" s="1">
        <v>30.0</v>
      </c>
    </row>
    <row r="22">
      <c r="A22" s="1" t="s">
        <v>468</v>
      </c>
      <c r="B22" s="1">
        <v>40.0</v>
      </c>
    </row>
    <row r="23">
      <c r="A23" s="1" t="s">
        <v>469</v>
      </c>
      <c r="B23" s="1">
        <v>20.0</v>
      </c>
    </row>
    <row r="30">
      <c r="D30" s="1"/>
      <c r="E30" s="1"/>
    </row>
    <row r="31">
      <c r="D31" s="1"/>
      <c r="E31" s="1"/>
    </row>
    <row r="34">
      <c r="D34" s="1"/>
      <c r="E34" s="1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18.5"/>
    <col customWidth="1" min="3" max="3" width="16.25"/>
    <col customWidth="1" min="4" max="4" width="13.25"/>
    <col customWidth="1" min="5" max="5" width="34.75"/>
    <col customWidth="1" min="6" max="6" width="18.13"/>
  </cols>
  <sheetData>
    <row r="1">
      <c r="A1" s="1" t="s">
        <v>470</v>
      </c>
      <c r="B1" s="1">
        <v>8.0</v>
      </c>
    </row>
    <row r="2">
      <c r="A2" s="1" t="s">
        <v>471</v>
      </c>
      <c r="B2" s="1">
        <v>10.0</v>
      </c>
    </row>
    <row r="3">
      <c r="A3" s="1" t="s">
        <v>472</v>
      </c>
      <c r="B3" s="1">
        <v>17.0</v>
      </c>
    </row>
    <row r="4">
      <c r="A4" s="1" t="s">
        <v>473</v>
      </c>
      <c r="B4" s="1">
        <v>20.0</v>
      </c>
    </row>
    <row r="5">
      <c r="A5" s="1" t="s">
        <v>474</v>
      </c>
      <c r="B5" s="1">
        <v>150.0</v>
      </c>
    </row>
    <row r="6">
      <c r="A6" s="1" t="s">
        <v>475</v>
      </c>
      <c r="B6" s="1">
        <v>70.0</v>
      </c>
    </row>
    <row r="7">
      <c r="A7" s="1" t="s">
        <v>476</v>
      </c>
      <c r="B7" s="1">
        <v>30.0</v>
      </c>
    </row>
    <row r="8">
      <c r="A8" s="1" t="s">
        <v>477</v>
      </c>
      <c r="B8" s="1">
        <v>40.0</v>
      </c>
    </row>
    <row r="9">
      <c r="A9" s="1" t="s">
        <v>478</v>
      </c>
      <c r="B9" s="1">
        <v>30.0</v>
      </c>
    </row>
    <row r="11">
      <c r="A11" s="1" t="s">
        <v>479</v>
      </c>
      <c r="B11" s="1">
        <v>76.0</v>
      </c>
    </row>
    <row r="12">
      <c r="A12" s="1" t="s">
        <v>480</v>
      </c>
      <c r="B12" s="1">
        <v>20.0</v>
      </c>
    </row>
    <row r="13">
      <c r="A13" s="1" t="s">
        <v>481</v>
      </c>
      <c r="B13" s="1">
        <v>130.0</v>
      </c>
      <c r="C13" s="1"/>
      <c r="D13" s="1"/>
    </row>
    <row r="14">
      <c r="A14" s="1" t="s">
        <v>482</v>
      </c>
      <c r="B14" s="1">
        <v>140.0</v>
      </c>
      <c r="C14" s="1"/>
      <c r="D14" s="1"/>
    </row>
    <row r="15">
      <c r="A15" s="1" t="s">
        <v>483</v>
      </c>
      <c r="B15" s="1">
        <v>120.0</v>
      </c>
      <c r="C15" s="1"/>
      <c r="D15" s="1"/>
    </row>
    <row r="16">
      <c r="A16" s="1" t="s">
        <v>484</v>
      </c>
      <c r="B16" s="1">
        <v>13.0</v>
      </c>
    </row>
    <row r="17">
      <c r="A17" s="1" t="s">
        <v>485</v>
      </c>
      <c r="B17" s="1">
        <v>20.0</v>
      </c>
    </row>
    <row r="18">
      <c r="A18" s="1" t="s">
        <v>486</v>
      </c>
      <c r="B18" s="1">
        <v>62.0</v>
      </c>
    </row>
    <row r="19">
      <c r="A19" s="1" t="s">
        <v>487</v>
      </c>
      <c r="B19" s="1">
        <v>20.0</v>
      </c>
    </row>
    <row r="20">
      <c r="A20" s="1" t="s">
        <v>488</v>
      </c>
      <c r="B20" s="1">
        <v>40.0</v>
      </c>
    </row>
    <row r="21">
      <c r="A21" s="1" t="s">
        <v>489</v>
      </c>
      <c r="B21" s="1">
        <v>8.0</v>
      </c>
    </row>
    <row r="23">
      <c r="A23" s="1" t="s">
        <v>490</v>
      </c>
      <c r="B23" s="1">
        <v>30.0</v>
      </c>
    </row>
    <row r="24">
      <c r="A24" s="1" t="s">
        <v>491</v>
      </c>
      <c r="B24" s="1">
        <v>30.0</v>
      </c>
    </row>
    <row r="26">
      <c r="A26" s="1" t="s">
        <v>492</v>
      </c>
      <c r="B26" s="1">
        <v>10.0</v>
      </c>
    </row>
    <row r="27">
      <c r="A27" s="1" t="s">
        <v>493</v>
      </c>
      <c r="B27" s="1">
        <v>50.0</v>
      </c>
    </row>
    <row r="28">
      <c r="A28" s="1" t="s">
        <v>494</v>
      </c>
      <c r="B28" s="1">
        <v>39.0</v>
      </c>
    </row>
    <row r="29">
      <c r="A29" s="1" t="s">
        <v>495</v>
      </c>
      <c r="B29" s="1">
        <v>70.0</v>
      </c>
    </row>
    <row r="30">
      <c r="A30" s="1" t="s">
        <v>496</v>
      </c>
      <c r="B30" s="1">
        <v>130.0</v>
      </c>
    </row>
    <row r="31">
      <c r="A31" s="1" t="s">
        <v>497</v>
      </c>
      <c r="B31" s="1">
        <v>51.0</v>
      </c>
    </row>
    <row r="32">
      <c r="A32" s="1" t="s">
        <v>498</v>
      </c>
      <c r="B32" s="1">
        <v>21.0</v>
      </c>
    </row>
    <row r="33">
      <c r="A33" s="1" t="s">
        <v>499</v>
      </c>
      <c r="B33" s="1">
        <v>20.0</v>
      </c>
    </row>
    <row r="34">
      <c r="A34" s="1" t="s">
        <v>500</v>
      </c>
      <c r="B34" s="1">
        <v>41.0</v>
      </c>
    </row>
    <row r="35">
      <c r="A35" s="1" t="s">
        <v>501</v>
      </c>
      <c r="B35" s="1">
        <v>163.0</v>
      </c>
    </row>
    <row r="36">
      <c r="A36" s="1" t="s">
        <v>502</v>
      </c>
      <c r="B36" s="1">
        <v>50.0</v>
      </c>
    </row>
    <row r="37">
      <c r="A37" s="1" t="s">
        <v>503</v>
      </c>
      <c r="B37" s="1">
        <v>107.0</v>
      </c>
    </row>
    <row r="38">
      <c r="A38" s="1" t="s">
        <v>504</v>
      </c>
      <c r="B38" s="1">
        <v>41.0</v>
      </c>
    </row>
    <row r="39">
      <c r="A39" s="1" t="s">
        <v>505</v>
      </c>
      <c r="B39" s="1">
        <v>10.0</v>
      </c>
    </row>
    <row r="40">
      <c r="A40" s="1" t="s">
        <v>506</v>
      </c>
      <c r="B40" s="1">
        <v>25.0</v>
      </c>
    </row>
    <row r="41">
      <c r="A41" s="1" t="s">
        <v>507</v>
      </c>
      <c r="B41" s="1">
        <v>79.0</v>
      </c>
    </row>
    <row r="42">
      <c r="A42" s="1" t="s">
        <v>508</v>
      </c>
      <c r="B42" s="1">
        <v>40.0</v>
      </c>
    </row>
    <row r="43">
      <c r="A43" s="1" t="s">
        <v>509</v>
      </c>
      <c r="B43" s="1">
        <v>60.0</v>
      </c>
    </row>
    <row r="45">
      <c r="A45" s="1" t="s">
        <v>510</v>
      </c>
      <c r="B45" s="1">
        <v>20.0</v>
      </c>
    </row>
    <row r="47">
      <c r="A47" s="1" t="s">
        <v>511</v>
      </c>
      <c r="B47" s="1">
        <v>70.0</v>
      </c>
    </row>
    <row r="48">
      <c r="A48" s="1" t="s">
        <v>512</v>
      </c>
      <c r="B48" s="1">
        <v>29.0</v>
      </c>
    </row>
    <row r="49">
      <c r="A49" s="1" t="s">
        <v>513</v>
      </c>
      <c r="B49" s="1">
        <v>10.0</v>
      </c>
    </row>
    <row r="51">
      <c r="A51" s="1" t="s">
        <v>514</v>
      </c>
      <c r="B51" s="1">
        <v>23.0</v>
      </c>
    </row>
    <row r="52">
      <c r="A52" s="1" t="s">
        <v>515</v>
      </c>
      <c r="B52" s="1">
        <v>24.0</v>
      </c>
    </row>
    <row r="61">
      <c r="B61" s="1"/>
      <c r="C61" s="1"/>
      <c r="D61" s="1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13"/>
    <col customWidth="1" min="2" max="2" width="18.75"/>
  </cols>
  <sheetData>
    <row r="1">
      <c r="A1" s="1" t="s">
        <v>516</v>
      </c>
      <c r="B1" s="1">
        <v>50.0</v>
      </c>
      <c r="C1" s="1" t="s">
        <v>517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9.0"/>
    <col customWidth="1" min="3" max="3" width="23.13"/>
  </cols>
  <sheetData>
    <row r="1">
      <c r="A1" s="1" t="s">
        <v>518</v>
      </c>
      <c r="B1" s="1">
        <v>20.0</v>
      </c>
    </row>
    <row r="2">
      <c r="A2" s="1" t="s">
        <v>519</v>
      </c>
      <c r="B2" s="1">
        <v>20.0</v>
      </c>
    </row>
    <row r="3">
      <c r="A3" s="1" t="s">
        <v>520</v>
      </c>
      <c r="B3" s="1">
        <v>10.0</v>
      </c>
    </row>
    <row r="4">
      <c r="A4" s="1" t="s">
        <v>521</v>
      </c>
      <c r="B4" s="1">
        <v>20.0</v>
      </c>
    </row>
    <row r="5">
      <c r="A5" s="1" t="s">
        <v>522</v>
      </c>
      <c r="B5" s="1">
        <v>10.0</v>
      </c>
    </row>
    <row r="7">
      <c r="A7" s="1" t="s">
        <v>523</v>
      </c>
      <c r="B7" s="1">
        <v>50.0</v>
      </c>
    </row>
    <row r="8">
      <c r="A8" s="1" t="s">
        <v>524</v>
      </c>
      <c r="B8" s="1">
        <v>20.0</v>
      </c>
    </row>
    <row r="9">
      <c r="A9" s="1" t="s">
        <v>525</v>
      </c>
      <c r="B9" s="1">
        <v>30.0</v>
      </c>
    </row>
    <row r="10">
      <c r="A10" s="1" t="s">
        <v>526</v>
      </c>
      <c r="B10" s="1">
        <v>35.0</v>
      </c>
    </row>
    <row r="11">
      <c r="A11" s="1" t="s">
        <v>527</v>
      </c>
      <c r="B11" s="1">
        <v>32.0</v>
      </c>
    </row>
    <row r="12">
      <c r="A12" s="1" t="s">
        <v>528</v>
      </c>
      <c r="B12" s="1">
        <v>31.0</v>
      </c>
    </row>
    <row r="13">
      <c r="A13" s="1" t="s">
        <v>529</v>
      </c>
      <c r="B13" s="1">
        <v>5.0</v>
      </c>
    </row>
    <row r="14">
      <c r="A14" s="1" t="s">
        <v>530</v>
      </c>
      <c r="B14" s="1">
        <v>10.0</v>
      </c>
    </row>
    <row r="15">
      <c r="A15" s="1" t="s">
        <v>531</v>
      </c>
      <c r="B15" s="1">
        <v>31.0</v>
      </c>
    </row>
    <row r="16">
      <c r="A16" s="1" t="s">
        <v>532</v>
      </c>
      <c r="B16" s="1">
        <v>50.0</v>
      </c>
    </row>
    <row r="17">
      <c r="A17" s="1" t="s">
        <v>533</v>
      </c>
      <c r="B17" s="1">
        <v>9.0</v>
      </c>
    </row>
    <row r="18">
      <c r="A18" s="1" t="s">
        <v>534</v>
      </c>
      <c r="B18" s="1">
        <v>20.0</v>
      </c>
    </row>
    <row r="19">
      <c r="A19" s="1" t="s">
        <v>535</v>
      </c>
      <c r="B19" s="1">
        <v>20.0</v>
      </c>
    </row>
    <row r="20">
      <c r="A20" s="1" t="s">
        <v>536</v>
      </c>
      <c r="B20" s="1">
        <v>20.0</v>
      </c>
    </row>
    <row r="22">
      <c r="A22" s="1" t="s">
        <v>537</v>
      </c>
      <c r="B22" s="1">
        <v>20.0</v>
      </c>
    </row>
    <row r="23">
      <c r="A23" s="1" t="s">
        <v>538</v>
      </c>
      <c r="B23" s="1">
        <v>20.0</v>
      </c>
    </row>
    <row r="24">
      <c r="A24" s="1" t="s">
        <v>539</v>
      </c>
      <c r="B24" s="1">
        <v>10.0</v>
      </c>
    </row>
    <row r="25">
      <c r="A25" s="1" t="s">
        <v>540</v>
      </c>
      <c r="B25" s="1">
        <v>50.0</v>
      </c>
    </row>
    <row r="26">
      <c r="A26" s="1" t="s">
        <v>541</v>
      </c>
      <c r="B26" s="1">
        <v>52.0</v>
      </c>
    </row>
    <row r="27">
      <c r="A27" s="1" t="s">
        <v>542</v>
      </c>
      <c r="B27" s="1">
        <v>47.0</v>
      </c>
    </row>
    <row r="28">
      <c r="A28" s="1" t="s">
        <v>543</v>
      </c>
      <c r="B28" s="1">
        <v>31.0</v>
      </c>
    </row>
    <row r="29">
      <c r="A29" s="1" t="s">
        <v>544</v>
      </c>
      <c r="B29" s="1">
        <v>30.0</v>
      </c>
    </row>
    <row r="30">
      <c r="A30" s="1" t="s">
        <v>545</v>
      </c>
      <c r="B30" s="1">
        <v>10.0</v>
      </c>
    </row>
    <row r="31">
      <c r="A31" s="1" t="s">
        <v>546</v>
      </c>
      <c r="B31" s="1">
        <v>9.0</v>
      </c>
    </row>
    <row r="32">
      <c r="A32" s="1" t="s">
        <v>547</v>
      </c>
      <c r="B32" s="1">
        <v>20.0</v>
      </c>
    </row>
    <row r="33">
      <c r="A33" s="1" t="s">
        <v>548</v>
      </c>
      <c r="B33" s="1">
        <v>10.0</v>
      </c>
    </row>
    <row r="34">
      <c r="A34" s="1" t="s">
        <v>549</v>
      </c>
      <c r="B34" s="1">
        <v>80.0</v>
      </c>
    </row>
    <row r="35">
      <c r="A35" s="1" t="s">
        <v>550</v>
      </c>
      <c r="B35" s="1">
        <v>30.0</v>
      </c>
    </row>
    <row r="36">
      <c r="A36" s="1" t="s">
        <v>551</v>
      </c>
      <c r="B36" s="1">
        <v>10.0</v>
      </c>
    </row>
    <row r="37">
      <c r="A37" s="1" t="s">
        <v>552</v>
      </c>
      <c r="B37" s="1">
        <v>20.0</v>
      </c>
    </row>
    <row r="38">
      <c r="A38" s="1" t="s">
        <v>553</v>
      </c>
      <c r="B38" s="1">
        <v>70.0</v>
      </c>
    </row>
    <row r="39">
      <c r="A39" s="1" t="s">
        <v>554</v>
      </c>
      <c r="B39" s="1">
        <v>70.0</v>
      </c>
    </row>
    <row r="40">
      <c r="A40" s="1" t="s">
        <v>555</v>
      </c>
      <c r="B40" s="1">
        <v>70.0</v>
      </c>
    </row>
    <row r="41">
      <c r="A41" s="1" t="s">
        <v>556</v>
      </c>
      <c r="B41" s="1">
        <v>60.0</v>
      </c>
    </row>
    <row r="42">
      <c r="A42" s="1"/>
    </row>
    <row r="43">
      <c r="A43" s="1"/>
    </row>
    <row r="44" ht="15.0" customHeight="1"/>
    <row r="45" ht="15.0" customHeight="1">
      <c r="A45" s="1" t="s">
        <v>557</v>
      </c>
      <c r="B45" s="1">
        <v>20.0</v>
      </c>
    </row>
    <row r="46">
      <c r="A46" s="1" t="s">
        <v>558</v>
      </c>
      <c r="B46" s="1">
        <v>13.0</v>
      </c>
    </row>
    <row r="47">
      <c r="A47" s="1" t="s">
        <v>559</v>
      </c>
      <c r="B47" s="1">
        <v>29.0</v>
      </c>
    </row>
    <row r="48">
      <c r="A48" s="1" t="s">
        <v>560</v>
      </c>
      <c r="B48" s="1">
        <v>51.0</v>
      </c>
    </row>
    <row r="49">
      <c r="A49" s="1" t="s">
        <v>561</v>
      </c>
      <c r="B49" s="1">
        <v>56.0</v>
      </c>
    </row>
    <row r="50">
      <c r="A50" s="1" t="s">
        <v>562</v>
      </c>
      <c r="B50" s="1">
        <v>51.0</v>
      </c>
    </row>
    <row r="54">
      <c r="A54" s="1" t="s">
        <v>563</v>
      </c>
      <c r="B54" s="1">
        <v>6.0</v>
      </c>
    </row>
    <row r="55">
      <c r="A55" s="1" t="s">
        <v>564</v>
      </c>
      <c r="B55" s="1">
        <v>23.0</v>
      </c>
    </row>
    <row r="56">
      <c r="A56" s="1" t="s">
        <v>565</v>
      </c>
      <c r="B56" s="1">
        <v>20.0</v>
      </c>
    </row>
    <row r="63">
      <c r="A63" s="1"/>
      <c r="B63" s="1"/>
    </row>
    <row r="64">
      <c r="A64" s="1" t="s">
        <v>567</v>
      </c>
      <c r="B64" s="1">
        <v>7.0</v>
      </c>
    </row>
    <row r="69">
      <c r="A69" s="1" t="s">
        <v>569</v>
      </c>
      <c r="B69" s="1">
        <v>20.0</v>
      </c>
    </row>
    <row r="71">
      <c r="A71" s="1" t="s">
        <v>571</v>
      </c>
      <c r="B71" s="1">
        <v>30.0</v>
      </c>
    </row>
    <row r="74">
      <c r="A74" s="1" t="s">
        <v>574</v>
      </c>
      <c r="B74" s="1">
        <v>40.0</v>
      </c>
    </row>
    <row r="75">
      <c r="A75" s="1" t="s">
        <v>577</v>
      </c>
      <c r="B75" s="1">
        <v>50.0</v>
      </c>
    </row>
    <row r="76">
      <c r="A76" s="1" t="s">
        <v>580</v>
      </c>
      <c r="B76" s="1">
        <v>50.0</v>
      </c>
    </row>
    <row r="78">
      <c r="A78" s="1" t="s">
        <v>583</v>
      </c>
      <c r="B78" s="1">
        <v>10.0</v>
      </c>
    </row>
    <row r="82">
      <c r="A82" s="2"/>
    </row>
    <row r="84">
      <c r="A84" s="2"/>
    </row>
    <row r="86">
      <c r="A86" s="2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21.0"/>
    <col customWidth="1" min="4" max="4" width="28.13"/>
  </cols>
  <sheetData>
    <row r="1" ht="19.5" customHeight="1">
      <c r="A1" s="1" t="s">
        <v>566</v>
      </c>
      <c r="B1" s="1">
        <v>5.0</v>
      </c>
    </row>
    <row r="2" ht="19.5" customHeight="1">
      <c r="A2" s="1" t="s">
        <v>568</v>
      </c>
      <c r="B2" s="1">
        <v>31.0</v>
      </c>
    </row>
    <row r="4">
      <c r="A4" s="1" t="s">
        <v>570</v>
      </c>
      <c r="B4" s="1">
        <v>30.0</v>
      </c>
    </row>
    <row r="5">
      <c r="C5" s="1"/>
    </row>
    <row r="6" ht="19.5" customHeight="1">
      <c r="A6" s="1" t="s">
        <v>573</v>
      </c>
      <c r="B6" s="1">
        <v>37.0</v>
      </c>
    </row>
    <row r="7" ht="19.5" customHeight="1">
      <c r="A7" s="1" t="s">
        <v>576</v>
      </c>
      <c r="B7" s="1">
        <v>60.0</v>
      </c>
    </row>
    <row r="8">
      <c r="A8" s="1" t="s">
        <v>578</v>
      </c>
      <c r="B8" s="1">
        <v>20.0</v>
      </c>
    </row>
    <row r="9">
      <c r="A9" s="1" t="s">
        <v>581</v>
      </c>
      <c r="B9" s="1">
        <v>22.0</v>
      </c>
    </row>
    <row r="11">
      <c r="A11" s="1" t="s">
        <v>584</v>
      </c>
      <c r="B11" s="1">
        <v>50.0</v>
      </c>
    </row>
    <row r="12">
      <c r="A12" s="1" t="s">
        <v>585</v>
      </c>
      <c r="B12" s="1">
        <v>40.0</v>
      </c>
    </row>
    <row r="13">
      <c r="A13" s="1" t="s">
        <v>587</v>
      </c>
      <c r="B13" s="1">
        <v>40.0</v>
      </c>
    </row>
    <row r="14">
      <c r="A14" s="1" t="s">
        <v>589</v>
      </c>
      <c r="B14" s="1">
        <v>30.0</v>
      </c>
    </row>
    <row r="15">
      <c r="A15" s="1" t="s">
        <v>591</v>
      </c>
      <c r="B15" s="1">
        <v>49.0</v>
      </c>
    </row>
    <row r="18">
      <c r="A18" s="1" t="s">
        <v>593</v>
      </c>
      <c r="B18" s="1">
        <v>9.0</v>
      </c>
    </row>
    <row r="19">
      <c r="A19" s="1" t="s">
        <v>595</v>
      </c>
      <c r="B19" s="1">
        <v>30.0</v>
      </c>
    </row>
    <row r="20">
      <c r="A20" s="1" t="s">
        <v>597</v>
      </c>
      <c r="B20" s="1">
        <v>20.0</v>
      </c>
    </row>
    <row r="21">
      <c r="A21" s="1" t="s">
        <v>599</v>
      </c>
      <c r="B21" s="1">
        <v>40.0</v>
      </c>
    </row>
    <row r="23">
      <c r="A23" s="1" t="s">
        <v>600</v>
      </c>
      <c r="B23" s="1">
        <v>26.0</v>
      </c>
    </row>
    <row r="24">
      <c r="A24" s="1" t="s">
        <v>602</v>
      </c>
      <c r="B24" s="1">
        <v>42.0</v>
      </c>
    </row>
    <row r="25">
      <c r="A25" s="1" t="s">
        <v>603</v>
      </c>
      <c r="B25" s="1">
        <v>90.0</v>
      </c>
    </row>
    <row r="26">
      <c r="A26" s="1" t="s">
        <v>605</v>
      </c>
      <c r="B26" s="1">
        <v>75.0</v>
      </c>
    </row>
    <row r="27">
      <c r="A27" s="1" t="s">
        <v>606</v>
      </c>
      <c r="B27" s="1">
        <v>71.0</v>
      </c>
    </row>
    <row r="28">
      <c r="A28" s="1" t="s">
        <v>608</v>
      </c>
      <c r="B28" s="1">
        <v>10.0</v>
      </c>
    </row>
    <row r="29">
      <c r="A29" s="1" t="s">
        <v>610</v>
      </c>
      <c r="B29" s="1">
        <v>20.0</v>
      </c>
    </row>
    <row r="30">
      <c r="A30" s="1" t="s">
        <v>611</v>
      </c>
      <c r="B30" s="1">
        <v>20.0</v>
      </c>
    </row>
    <row r="31">
      <c r="A31" s="1" t="s">
        <v>613</v>
      </c>
      <c r="B31" s="1">
        <v>80.0</v>
      </c>
    </row>
    <row r="32">
      <c r="A32" s="1" t="s">
        <v>615</v>
      </c>
      <c r="B32" s="1">
        <v>30.0</v>
      </c>
    </row>
    <row r="33">
      <c r="A33" s="1" t="s">
        <v>617</v>
      </c>
      <c r="B33" s="1">
        <v>40.0</v>
      </c>
    </row>
    <row r="34">
      <c r="A34" s="1" t="s">
        <v>619</v>
      </c>
      <c r="B34" s="1">
        <v>40.0</v>
      </c>
    </row>
    <row r="35">
      <c r="A35" s="1" t="s">
        <v>621</v>
      </c>
      <c r="B35" s="1">
        <v>10.0</v>
      </c>
    </row>
    <row r="36">
      <c r="A36" s="1" t="s">
        <v>623</v>
      </c>
      <c r="B36" s="1">
        <v>25.0</v>
      </c>
    </row>
    <row r="37">
      <c r="A37" s="1"/>
    </row>
    <row r="38">
      <c r="A38" s="1" t="s">
        <v>625</v>
      </c>
      <c r="B38" s="1">
        <v>30.0</v>
      </c>
    </row>
    <row r="40">
      <c r="A40" s="1" t="s">
        <v>627</v>
      </c>
      <c r="B40" s="1">
        <v>10.0</v>
      </c>
    </row>
    <row r="41">
      <c r="A41" s="1" t="s">
        <v>629</v>
      </c>
      <c r="B41" s="1">
        <v>30.0</v>
      </c>
    </row>
    <row r="42">
      <c r="A42" s="1" t="s">
        <v>630</v>
      </c>
      <c r="B42" s="1">
        <v>32.0</v>
      </c>
    </row>
    <row r="43">
      <c r="A43" s="1"/>
    </row>
    <row r="44">
      <c r="A44" s="1"/>
    </row>
    <row r="45">
      <c r="A45" s="1" t="s">
        <v>633</v>
      </c>
      <c r="B45" s="1">
        <v>10.0</v>
      </c>
    </row>
    <row r="46">
      <c r="A46" s="1" t="s">
        <v>634</v>
      </c>
      <c r="B46" s="1">
        <v>4.0</v>
      </c>
    </row>
    <row r="47">
      <c r="A47" s="1" t="s">
        <v>635</v>
      </c>
      <c r="B47" s="1">
        <v>50.0</v>
      </c>
    </row>
    <row r="48">
      <c r="A48" s="1" t="s">
        <v>636</v>
      </c>
      <c r="B48" s="1">
        <v>20.0</v>
      </c>
    </row>
    <row r="49">
      <c r="A49" s="1" t="s">
        <v>637</v>
      </c>
      <c r="B49" s="1">
        <v>10.0</v>
      </c>
    </row>
    <row r="50">
      <c r="A50" s="1" t="s">
        <v>638</v>
      </c>
      <c r="B50" s="1">
        <v>10.0</v>
      </c>
    </row>
    <row r="51">
      <c r="A51" s="1" t="s">
        <v>639</v>
      </c>
      <c r="B51" s="1">
        <v>10.0</v>
      </c>
    </row>
    <row r="52">
      <c r="A52" s="2" t="s">
        <v>640</v>
      </c>
      <c r="B52" s="1">
        <v>50.0</v>
      </c>
    </row>
    <row r="55">
      <c r="A55" s="1" t="s">
        <v>641</v>
      </c>
      <c r="B55" s="1">
        <v>40.0</v>
      </c>
    </row>
    <row r="57">
      <c r="A57" s="1"/>
    </row>
    <row r="58">
      <c r="A58" s="1" t="s">
        <v>642</v>
      </c>
      <c r="B58" s="1">
        <v>12.0</v>
      </c>
    </row>
    <row r="59">
      <c r="C59" s="1"/>
    </row>
    <row r="60">
      <c r="A60" s="2" t="s">
        <v>643</v>
      </c>
      <c r="B60" s="1">
        <v>30.0</v>
      </c>
      <c r="C60" s="1"/>
    </row>
    <row r="62">
      <c r="A62" s="1" t="s">
        <v>644</v>
      </c>
      <c r="B62" s="1">
        <v>10.0</v>
      </c>
      <c r="C62" s="1"/>
    </row>
    <row r="63">
      <c r="A63" s="1" t="s">
        <v>645</v>
      </c>
      <c r="B63" s="1">
        <v>40.0</v>
      </c>
    </row>
    <row r="64">
      <c r="A64" s="1" t="s">
        <v>646</v>
      </c>
      <c r="B64" s="1">
        <v>10.0</v>
      </c>
    </row>
    <row r="65">
      <c r="A65" s="1" t="s">
        <v>647</v>
      </c>
      <c r="B65" s="1">
        <v>36.0</v>
      </c>
    </row>
    <row r="66">
      <c r="A66" s="1" t="s">
        <v>648</v>
      </c>
      <c r="B66" s="1">
        <v>116.0</v>
      </c>
    </row>
    <row r="67">
      <c r="A67" s="1" t="s">
        <v>649</v>
      </c>
      <c r="B67" s="1">
        <v>50.0</v>
      </c>
    </row>
    <row r="68">
      <c r="A68" s="1" t="s">
        <v>650</v>
      </c>
      <c r="B68" s="1">
        <v>4.0</v>
      </c>
    </row>
    <row r="69">
      <c r="A69" s="1" t="s">
        <v>651</v>
      </c>
      <c r="B69" s="1">
        <v>21.0</v>
      </c>
    </row>
    <row r="71">
      <c r="A71" s="1" t="s">
        <v>652</v>
      </c>
      <c r="B71" s="1">
        <v>30.0</v>
      </c>
    </row>
    <row r="72">
      <c r="A72" s="1" t="s">
        <v>653</v>
      </c>
      <c r="B72" s="1">
        <v>68.0</v>
      </c>
    </row>
    <row r="73">
      <c r="A73" s="1" t="s">
        <v>654</v>
      </c>
      <c r="B73" s="1">
        <v>31.0</v>
      </c>
    </row>
    <row r="74">
      <c r="A74" s="1" t="s">
        <v>655</v>
      </c>
      <c r="B74" s="1">
        <v>40.0</v>
      </c>
    </row>
    <row r="75">
      <c r="A75" s="1" t="s">
        <v>656</v>
      </c>
      <c r="B75" s="1">
        <v>3.0</v>
      </c>
    </row>
    <row r="76">
      <c r="A76" s="1" t="s">
        <v>657</v>
      </c>
      <c r="B76" s="1">
        <v>12.0</v>
      </c>
    </row>
    <row r="77">
      <c r="A77" s="1" t="s">
        <v>658</v>
      </c>
      <c r="B77" s="1">
        <v>10.0</v>
      </c>
    </row>
    <row r="80">
      <c r="A80" s="1" t="s">
        <v>659</v>
      </c>
      <c r="B80" s="1">
        <v>10.0</v>
      </c>
    </row>
    <row r="107">
      <c r="A107" s="1"/>
    </row>
    <row r="111">
      <c r="B111" s="1"/>
    </row>
    <row r="112">
      <c r="B112" s="1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20.63"/>
    <col customWidth="1" min="4" max="4" width="30.63"/>
  </cols>
  <sheetData>
    <row r="1">
      <c r="A1" s="1" t="s">
        <v>572</v>
      </c>
      <c r="B1" s="1">
        <v>20.0</v>
      </c>
    </row>
    <row r="2">
      <c r="A2" s="1" t="s">
        <v>575</v>
      </c>
      <c r="B2" s="1">
        <v>10.0</v>
      </c>
    </row>
    <row r="7">
      <c r="A7" s="1" t="s">
        <v>579</v>
      </c>
      <c r="B7" s="1">
        <v>70.0</v>
      </c>
    </row>
    <row r="8">
      <c r="A8" s="1" t="s">
        <v>582</v>
      </c>
      <c r="B8" s="1">
        <v>59.0</v>
      </c>
      <c r="E8" s="3"/>
    </row>
    <row r="9">
      <c r="A9" s="1" t="s">
        <v>586</v>
      </c>
      <c r="B9" s="1">
        <v>110.0</v>
      </c>
    </row>
    <row r="10">
      <c r="A10" s="1" t="s">
        <v>588</v>
      </c>
      <c r="B10" s="1">
        <v>79.0</v>
      </c>
    </row>
    <row r="11">
      <c r="A11" s="1" t="s">
        <v>590</v>
      </c>
      <c r="B11" s="1">
        <v>130.0</v>
      </c>
    </row>
    <row r="12">
      <c r="A12" s="1" t="s">
        <v>592</v>
      </c>
      <c r="B12" s="1">
        <v>80.0</v>
      </c>
    </row>
    <row r="13">
      <c r="A13" s="1" t="s">
        <v>594</v>
      </c>
      <c r="B13" s="1">
        <v>90.0</v>
      </c>
    </row>
    <row r="15">
      <c r="A15" s="1" t="s">
        <v>596</v>
      </c>
      <c r="B15" s="1">
        <v>50.0</v>
      </c>
    </row>
    <row r="17">
      <c r="A17" s="1" t="s">
        <v>598</v>
      </c>
      <c r="B17" s="1">
        <v>40.0</v>
      </c>
    </row>
    <row r="18">
      <c r="A18" s="1" t="s">
        <v>601</v>
      </c>
      <c r="B18" s="1">
        <v>10.0</v>
      </c>
    </row>
    <row r="20">
      <c r="A20" s="1" t="s">
        <v>604</v>
      </c>
      <c r="B20" s="1">
        <v>90.0</v>
      </c>
    </row>
    <row r="21">
      <c r="A21" s="1"/>
    </row>
    <row r="25">
      <c r="A25" s="1" t="s">
        <v>607</v>
      </c>
      <c r="B25" s="1">
        <v>10.0</v>
      </c>
    </row>
    <row r="26">
      <c r="A26" s="1" t="s">
        <v>609</v>
      </c>
      <c r="B26" s="1">
        <v>70.0</v>
      </c>
    </row>
    <row r="27">
      <c r="A27" s="1"/>
    </row>
    <row r="29">
      <c r="A29" s="1" t="s">
        <v>612</v>
      </c>
      <c r="B29" s="1">
        <v>20.0</v>
      </c>
    </row>
    <row r="30">
      <c r="A30" s="1" t="s">
        <v>614</v>
      </c>
      <c r="B30" s="1">
        <v>100.0</v>
      </c>
    </row>
    <row r="31">
      <c r="A31" s="1" t="s">
        <v>616</v>
      </c>
      <c r="B31" s="1">
        <v>70.0</v>
      </c>
    </row>
    <row r="32">
      <c r="A32" s="1" t="s">
        <v>618</v>
      </c>
      <c r="B32" s="1">
        <v>30.0</v>
      </c>
    </row>
    <row r="33">
      <c r="A33" s="1" t="s">
        <v>620</v>
      </c>
      <c r="B33" s="1">
        <v>30.0</v>
      </c>
    </row>
    <row r="35">
      <c r="A35" s="1" t="s">
        <v>622</v>
      </c>
      <c r="B35" s="1">
        <v>20.0</v>
      </c>
    </row>
    <row r="37">
      <c r="A37" s="1" t="s">
        <v>624</v>
      </c>
      <c r="B37" s="1">
        <v>100.0</v>
      </c>
    </row>
    <row r="43">
      <c r="A43" s="1" t="s">
        <v>626</v>
      </c>
      <c r="B43" s="1">
        <v>40.0</v>
      </c>
    </row>
    <row r="46">
      <c r="A46" s="1" t="s">
        <v>628</v>
      </c>
      <c r="B46" s="1">
        <v>20.0</v>
      </c>
    </row>
    <row r="47">
      <c r="A47" s="1" t="s">
        <v>631</v>
      </c>
      <c r="B47" s="1">
        <v>40.0</v>
      </c>
    </row>
    <row r="48">
      <c r="A48" s="1" t="s">
        <v>632</v>
      </c>
      <c r="B48" s="1">
        <v>39.0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8.5"/>
    <col customWidth="1" min="3" max="3" width="18.88"/>
    <col customWidth="1" min="4" max="4" width="20.25"/>
  </cols>
  <sheetData>
    <row r="1">
      <c r="A1" s="1" t="s">
        <v>660</v>
      </c>
      <c r="B1" s="1">
        <v>130.0</v>
      </c>
    </row>
    <row r="2">
      <c r="A2" s="1" t="s">
        <v>661</v>
      </c>
      <c r="B2" s="1">
        <v>90.0</v>
      </c>
    </row>
    <row r="3">
      <c r="A3" s="1" t="s">
        <v>662</v>
      </c>
      <c r="B3" s="1">
        <v>40.0</v>
      </c>
    </row>
    <row r="4">
      <c r="A4" s="1" t="s">
        <v>663</v>
      </c>
      <c r="B4" s="1">
        <v>90.0</v>
      </c>
    </row>
    <row r="7">
      <c r="A7" s="1" t="s">
        <v>664</v>
      </c>
      <c r="B7" s="1">
        <v>21.0</v>
      </c>
    </row>
    <row r="8">
      <c r="A8" s="1" t="s">
        <v>665</v>
      </c>
      <c r="B8" s="1">
        <v>10.0</v>
      </c>
    </row>
    <row r="9">
      <c r="A9" s="1" t="s">
        <v>666</v>
      </c>
      <c r="B9" s="1">
        <v>60.0</v>
      </c>
    </row>
    <row r="10">
      <c r="A10" s="1"/>
      <c r="B10" s="1"/>
    </row>
    <row r="11">
      <c r="A11" s="1" t="s">
        <v>667</v>
      </c>
      <c r="B11" s="1">
        <v>65.0</v>
      </c>
    </row>
    <row r="12">
      <c r="A12" s="1"/>
      <c r="B12" s="1"/>
    </row>
    <row r="13">
      <c r="A13" s="1" t="s">
        <v>668</v>
      </c>
      <c r="B13" s="1">
        <v>70.0</v>
      </c>
    </row>
    <row r="14">
      <c r="A14" s="1" t="s">
        <v>669</v>
      </c>
      <c r="B14" s="1">
        <v>70.0</v>
      </c>
    </row>
    <row r="15">
      <c r="A15" s="1" t="s">
        <v>671</v>
      </c>
      <c r="B15" s="1">
        <v>150.0</v>
      </c>
    </row>
    <row r="16">
      <c r="A16" s="1" t="s">
        <v>673</v>
      </c>
      <c r="B16" s="1">
        <v>120.0</v>
      </c>
    </row>
    <row r="17">
      <c r="A17" s="1" t="s">
        <v>676</v>
      </c>
      <c r="B17" s="1">
        <v>30.0</v>
      </c>
    </row>
    <row r="18">
      <c r="A18" s="1" t="s">
        <v>679</v>
      </c>
      <c r="B18" s="1">
        <v>40.0</v>
      </c>
    </row>
    <row r="19">
      <c r="A19" s="1" t="s">
        <v>681</v>
      </c>
      <c r="B19" s="1">
        <v>110.0</v>
      </c>
    </row>
    <row r="21">
      <c r="A21" s="1" t="s">
        <v>683</v>
      </c>
      <c r="B21" s="1">
        <v>80.0</v>
      </c>
    </row>
    <row r="22">
      <c r="A22" s="1" t="s">
        <v>685</v>
      </c>
      <c r="B22" s="1">
        <v>60.0</v>
      </c>
    </row>
    <row r="23">
      <c r="A23" s="1" t="s">
        <v>687</v>
      </c>
      <c r="B23" s="1">
        <v>20.0</v>
      </c>
    </row>
    <row r="24">
      <c r="A24" s="1" t="s">
        <v>688</v>
      </c>
      <c r="B24" s="1">
        <v>105.0</v>
      </c>
    </row>
    <row r="25">
      <c r="A25" s="1"/>
      <c r="B25" s="1"/>
    </row>
    <row r="26">
      <c r="A26" s="1" t="s">
        <v>691</v>
      </c>
      <c r="B26" s="1">
        <v>70.0</v>
      </c>
    </row>
    <row r="27">
      <c r="A27" s="1" t="s">
        <v>692</v>
      </c>
      <c r="B27" s="1">
        <v>60.0</v>
      </c>
    </row>
    <row r="32">
      <c r="A32" s="1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3" max="3" width="15.63"/>
    <col customWidth="1" min="4" max="4" width="24.75"/>
    <col customWidth="1" min="5" max="5" width="14.75"/>
    <col customWidth="1" min="6" max="6" width="55.13"/>
  </cols>
  <sheetData>
    <row r="2">
      <c r="A2" s="1" t="s">
        <v>670</v>
      </c>
      <c r="B2" s="1">
        <v>60.0</v>
      </c>
      <c r="C2" s="1" t="s">
        <v>672</v>
      </c>
    </row>
    <row r="3">
      <c r="A3" s="1" t="s">
        <v>674</v>
      </c>
      <c r="B3" s="1">
        <v>70.0</v>
      </c>
      <c r="C3" s="1" t="s">
        <v>675</v>
      </c>
    </row>
    <row r="4">
      <c r="A4" s="1" t="s">
        <v>677</v>
      </c>
      <c r="B4" s="1">
        <v>180.0</v>
      </c>
      <c r="C4" s="1" t="s">
        <v>678</v>
      </c>
      <c r="D4" s="1" t="s">
        <v>680</v>
      </c>
    </row>
    <row r="5">
      <c r="A5" s="1" t="s">
        <v>682</v>
      </c>
    </row>
    <row r="7">
      <c r="A7" s="2" t="s">
        <v>684</v>
      </c>
    </row>
    <row r="8">
      <c r="A8" s="1" t="s">
        <v>677</v>
      </c>
      <c r="B8" s="1">
        <v>520.0</v>
      </c>
      <c r="C8" s="1" t="s">
        <v>686</v>
      </c>
    </row>
    <row r="9">
      <c r="A9" s="1" t="s">
        <v>670</v>
      </c>
      <c r="B9" s="1">
        <v>320.0</v>
      </c>
      <c r="C9" s="1" t="s">
        <v>689</v>
      </c>
    </row>
    <row r="10">
      <c r="A10" s="1" t="s">
        <v>674</v>
      </c>
      <c r="B10" s="1">
        <v>300.0</v>
      </c>
      <c r="C10" s="1" t="s">
        <v>690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4" max="4" width="15.0"/>
    <col customWidth="1" min="6" max="6" width="22.75"/>
  </cols>
  <sheetData>
    <row r="1">
      <c r="A1" s="1"/>
      <c r="B1" s="1"/>
      <c r="C1" s="1"/>
    </row>
    <row r="2">
      <c r="A2" s="1" t="s">
        <v>693</v>
      </c>
      <c r="B2" s="1">
        <v>900.0</v>
      </c>
      <c r="C2" s="1" t="s">
        <v>694</v>
      </c>
    </row>
    <row r="3">
      <c r="A3" s="1" t="s">
        <v>695</v>
      </c>
      <c r="B3" s="1">
        <v>610.0</v>
      </c>
      <c r="C3" s="1" t="s">
        <v>696</v>
      </c>
    </row>
    <row r="4">
      <c r="A4" s="1" t="s">
        <v>697</v>
      </c>
      <c r="B4" s="1">
        <v>765.0</v>
      </c>
      <c r="C4" s="1" t="s">
        <v>698</v>
      </c>
    </row>
    <row r="5" ht="16.5" customHeight="1"/>
    <row r="7">
      <c r="A7" s="2" t="s">
        <v>684</v>
      </c>
    </row>
    <row r="8">
      <c r="A8" s="1" t="s">
        <v>699</v>
      </c>
      <c r="B8" s="1">
        <v>7400.0</v>
      </c>
      <c r="C8" s="1">
        <v>74.0</v>
      </c>
    </row>
    <row r="9">
      <c r="A9" s="1" t="s">
        <v>695</v>
      </c>
      <c r="B9" s="1">
        <v>5180.0</v>
      </c>
      <c r="C9" s="1">
        <v>74.0</v>
      </c>
    </row>
    <row r="10">
      <c r="A10" s="1" t="s">
        <v>700</v>
      </c>
      <c r="B10" s="1">
        <v>3150.0</v>
      </c>
      <c r="C10" s="1">
        <v>45.0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14.75"/>
    <col customWidth="1" min="3" max="3" width="41.25"/>
    <col customWidth="1" min="4" max="4" width="16.13"/>
    <col customWidth="1" min="5" max="5" width="52.0"/>
  </cols>
  <sheetData>
    <row r="3">
      <c r="A3" s="1" t="s">
        <v>701</v>
      </c>
      <c r="B3" s="1">
        <v>44.0</v>
      </c>
    </row>
    <row r="7">
      <c r="A7" s="1" t="s">
        <v>702</v>
      </c>
      <c r="B7" s="1">
        <v>70.0</v>
      </c>
    </row>
    <row r="8">
      <c r="A8" s="1" t="s">
        <v>703</v>
      </c>
      <c r="B8" s="1">
        <v>40.0</v>
      </c>
    </row>
    <row r="9">
      <c r="A9" s="1" t="s">
        <v>704</v>
      </c>
      <c r="B9" s="1">
        <v>70.0</v>
      </c>
    </row>
    <row r="10">
      <c r="A10" s="1" t="s">
        <v>705</v>
      </c>
      <c r="B10" s="1">
        <v>70.0</v>
      </c>
    </row>
    <row r="11">
      <c r="A11" s="1" t="s">
        <v>706</v>
      </c>
      <c r="B11" s="1">
        <v>120.0</v>
      </c>
    </row>
    <row r="12">
      <c r="A12" s="1" t="s">
        <v>707</v>
      </c>
      <c r="B12" s="1">
        <v>110.0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3" max="3" width="37.88"/>
    <col customWidth="1" min="4" max="4" width="22.25"/>
    <col customWidth="1" min="5" max="5" width="24.13"/>
    <col customWidth="1" min="6" max="6" width="6.75"/>
    <col customWidth="1" min="7" max="7" width="26.38"/>
  </cols>
  <sheetData>
    <row r="1">
      <c r="A1" s="1" t="s">
        <v>708</v>
      </c>
      <c r="B1" s="1">
        <v>170.0</v>
      </c>
    </row>
    <row r="2">
      <c r="A2" s="1" t="s">
        <v>709</v>
      </c>
      <c r="B2" s="1">
        <v>76.0</v>
      </c>
    </row>
    <row r="3">
      <c r="A3" s="1" t="s">
        <v>710</v>
      </c>
      <c r="B3" s="1">
        <v>290.0</v>
      </c>
    </row>
    <row r="5">
      <c r="A5" s="1"/>
      <c r="B5" s="1"/>
    </row>
    <row r="6">
      <c r="A6" s="1" t="s">
        <v>712</v>
      </c>
      <c r="B6" s="1">
        <v>888.0</v>
      </c>
    </row>
    <row r="7">
      <c r="A7" s="1" t="s">
        <v>714</v>
      </c>
      <c r="B7" s="1">
        <v>420.0</v>
      </c>
    </row>
    <row r="8">
      <c r="A8" s="1" t="s">
        <v>715</v>
      </c>
      <c r="B8" s="1">
        <v>710.0</v>
      </c>
    </row>
    <row r="9">
      <c r="A9" s="1" t="s">
        <v>717</v>
      </c>
      <c r="B9" s="1">
        <v>280.0</v>
      </c>
    </row>
    <row r="11">
      <c r="A11" s="1" t="s">
        <v>719</v>
      </c>
      <c r="B11" s="1">
        <v>150.0</v>
      </c>
    </row>
    <row r="12">
      <c r="A12" s="1" t="s">
        <v>721</v>
      </c>
      <c r="B12" s="1">
        <v>240.0</v>
      </c>
    </row>
    <row r="13">
      <c r="A13" s="1" t="s">
        <v>724</v>
      </c>
      <c r="B13" s="1">
        <v>50.0</v>
      </c>
    </row>
    <row r="15">
      <c r="A15" s="1" t="s">
        <v>727</v>
      </c>
      <c r="B15" s="1">
        <v>30.0</v>
      </c>
    </row>
    <row r="16">
      <c r="A16" s="1"/>
      <c r="B16" s="1"/>
    </row>
    <row r="17">
      <c r="A17" s="1" t="s">
        <v>730</v>
      </c>
      <c r="B17" s="1">
        <v>10.0</v>
      </c>
      <c r="C17" s="1" t="s">
        <v>732</v>
      </c>
    </row>
    <row r="18">
      <c r="A18" s="1" t="s">
        <v>734</v>
      </c>
      <c r="B18" s="1">
        <v>150.0</v>
      </c>
      <c r="C18" s="1" t="s">
        <v>736</v>
      </c>
    </row>
    <row r="19">
      <c r="A19" s="1" t="s">
        <v>738</v>
      </c>
      <c r="B19" s="1">
        <v>160.0</v>
      </c>
      <c r="C19" s="1" t="s">
        <v>732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6.88"/>
    <col customWidth="1" min="4" max="4" width="25.88"/>
  </cols>
  <sheetData>
    <row r="2">
      <c r="A2" s="1" t="s">
        <v>711</v>
      </c>
      <c r="B2" s="1">
        <v>42.0</v>
      </c>
    </row>
    <row r="3">
      <c r="A3" s="1" t="s">
        <v>713</v>
      </c>
      <c r="B3" s="1">
        <v>10.0</v>
      </c>
    </row>
    <row r="4">
      <c r="A4" s="1" t="s">
        <v>716</v>
      </c>
      <c r="B4" s="1">
        <v>28.0</v>
      </c>
    </row>
    <row r="6">
      <c r="A6" s="1" t="s">
        <v>718</v>
      </c>
      <c r="B6" s="1">
        <v>8.0</v>
      </c>
    </row>
    <row r="7">
      <c r="A7" s="1" t="s">
        <v>720</v>
      </c>
      <c r="B7" s="1">
        <v>4.0</v>
      </c>
    </row>
    <row r="10">
      <c r="A10" s="1" t="s">
        <v>722</v>
      </c>
      <c r="B10" s="1">
        <v>23.0</v>
      </c>
    </row>
    <row r="11">
      <c r="A11" s="1" t="s">
        <v>723</v>
      </c>
      <c r="B11" s="1">
        <v>69.0</v>
      </c>
    </row>
    <row r="12">
      <c r="A12" s="1" t="s">
        <v>725</v>
      </c>
      <c r="B12" s="1">
        <v>59.0</v>
      </c>
    </row>
    <row r="13">
      <c r="A13" s="1" t="s">
        <v>726</v>
      </c>
      <c r="B13" s="1">
        <v>55.0</v>
      </c>
    </row>
    <row r="15">
      <c r="A15" s="1" t="s">
        <v>728</v>
      </c>
      <c r="B15" s="1">
        <v>26.0</v>
      </c>
    </row>
    <row r="17">
      <c r="A17" s="1" t="s">
        <v>729</v>
      </c>
      <c r="B17" s="1">
        <v>41.0</v>
      </c>
    </row>
    <row r="18">
      <c r="A18" s="1" t="s">
        <v>731</v>
      </c>
      <c r="B18" s="1">
        <v>30.0</v>
      </c>
    </row>
    <row r="20">
      <c r="A20" s="1" t="s">
        <v>733</v>
      </c>
      <c r="B20" s="1">
        <v>10.0</v>
      </c>
    </row>
    <row r="21">
      <c r="A21" s="1" t="s">
        <v>735</v>
      </c>
      <c r="B21" s="1">
        <v>21.0</v>
      </c>
    </row>
    <row r="22">
      <c r="A22" s="1" t="s">
        <v>737</v>
      </c>
      <c r="B22" s="1">
        <v>40.0</v>
      </c>
    </row>
    <row r="23">
      <c r="A23" s="1" t="s">
        <v>739</v>
      </c>
      <c r="B23" s="1">
        <v>30.0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3" max="3" width="27.75"/>
  </cols>
  <sheetData>
    <row r="1">
      <c r="A1" s="1" t="s">
        <v>740</v>
      </c>
      <c r="B1" s="1">
        <v>10.0</v>
      </c>
    </row>
    <row r="2">
      <c r="A2" s="1" t="s">
        <v>741</v>
      </c>
      <c r="B2" s="1">
        <v>10.0</v>
      </c>
    </row>
    <row r="3">
      <c r="A3" s="1" t="s">
        <v>742</v>
      </c>
      <c r="B3" s="1">
        <v>40.0</v>
      </c>
    </row>
    <row r="4">
      <c r="A4" s="1" t="s">
        <v>743</v>
      </c>
      <c r="B4" s="1">
        <v>40.0</v>
      </c>
    </row>
    <row r="5">
      <c r="A5" s="1" t="s">
        <v>744</v>
      </c>
      <c r="B5" s="1">
        <v>20.0</v>
      </c>
    </row>
    <row r="6">
      <c r="A6" s="1" t="s">
        <v>745</v>
      </c>
      <c r="B6" s="1">
        <v>20.0</v>
      </c>
    </row>
    <row r="7">
      <c r="A7" s="1" t="s">
        <v>746</v>
      </c>
      <c r="B7" s="1">
        <v>20.0</v>
      </c>
    </row>
    <row r="8">
      <c r="A8" s="1" t="s">
        <v>747</v>
      </c>
      <c r="B8" s="1">
        <v>40.0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</cols>
  <sheetData>
    <row r="1">
      <c r="A1" s="1" t="s">
        <v>748</v>
      </c>
      <c r="B1" s="1">
        <v>21.0</v>
      </c>
    </row>
    <row r="8">
      <c r="A8" s="1" t="s">
        <v>749</v>
      </c>
      <c r="B8" s="1">
        <v>18.0</v>
      </c>
    </row>
    <row r="11">
      <c r="A11" s="1" t="s">
        <v>750</v>
      </c>
      <c r="B11" s="1">
        <v>90.0</v>
      </c>
    </row>
    <row r="12">
      <c r="A12" s="1" t="s">
        <v>751</v>
      </c>
      <c r="B12" s="1">
        <v>30.0</v>
      </c>
    </row>
    <row r="13">
      <c r="A13" s="1" t="s">
        <v>752</v>
      </c>
      <c r="B13" s="1">
        <v>16.0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21.5"/>
    <col customWidth="1" min="3" max="3" width="27.88"/>
    <col customWidth="1" min="4" max="4" width="28.88"/>
    <col customWidth="1" min="5" max="5" width="38.63"/>
  </cols>
  <sheetData>
    <row r="1">
      <c r="A1" s="1" t="s">
        <v>753</v>
      </c>
      <c r="B1" s="1">
        <v>454.0</v>
      </c>
    </row>
    <row r="2">
      <c r="A2" s="1" t="s">
        <v>754</v>
      </c>
      <c r="B2" s="1">
        <v>224.0</v>
      </c>
    </row>
    <row r="3">
      <c r="A3" s="1" t="s">
        <v>755</v>
      </c>
      <c r="B3" s="1">
        <v>75.0</v>
      </c>
    </row>
    <row r="4">
      <c r="A4" s="1" t="s">
        <v>756</v>
      </c>
      <c r="B4" s="1">
        <v>195.0</v>
      </c>
    </row>
    <row r="5">
      <c r="A5" s="1" t="s">
        <v>757</v>
      </c>
      <c r="B5" s="1">
        <v>172.0</v>
      </c>
    </row>
    <row r="6">
      <c r="A6" s="1"/>
      <c r="B6" s="1"/>
    </row>
    <row r="7">
      <c r="A7" s="1" t="s">
        <v>758</v>
      </c>
      <c r="B7" s="1">
        <v>817.0</v>
      </c>
    </row>
    <row r="8">
      <c r="A8" s="1" t="s">
        <v>759</v>
      </c>
      <c r="B8" s="1">
        <v>502.0</v>
      </c>
    </row>
    <row r="9">
      <c r="A9" s="1" t="s">
        <v>760</v>
      </c>
      <c r="B9" s="1">
        <v>340.0</v>
      </c>
    </row>
    <row r="10">
      <c r="A10" s="1" t="s">
        <v>761</v>
      </c>
      <c r="B10" s="1">
        <v>260.0</v>
      </c>
    </row>
    <row r="11">
      <c r="A11" s="1" t="s">
        <v>762</v>
      </c>
      <c r="B11" s="1">
        <v>343.0</v>
      </c>
    </row>
    <row r="12">
      <c r="A12" s="1"/>
      <c r="B12" s="1"/>
    </row>
    <row r="13">
      <c r="A13" s="1" t="s">
        <v>763</v>
      </c>
      <c r="B13" s="1">
        <v>82.0</v>
      </c>
    </row>
    <row r="14">
      <c r="A14" s="1" t="s">
        <v>764</v>
      </c>
      <c r="B14" s="1">
        <v>419.0</v>
      </c>
    </row>
    <row r="15">
      <c r="A15" s="1" t="s">
        <v>765</v>
      </c>
      <c r="B15" s="1">
        <v>100.0</v>
      </c>
    </row>
    <row r="16">
      <c r="A16" s="1" t="s">
        <v>766</v>
      </c>
      <c r="B16" s="1">
        <v>130.0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3" max="3" width="31.63"/>
  </cols>
  <sheetData>
    <row r="7">
      <c r="A7" s="1" t="s">
        <v>767</v>
      </c>
      <c r="B7" s="1">
        <v>20.0</v>
      </c>
    </row>
    <row r="8">
      <c r="A8" s="1" t="s">
        <v>768</v>
      </c>
      <c r="B8" s="1">
        <v>10.0</v>
      </c>
    </row>
    <row r="9">
      <c r="A9" s="1" t="s">
        <v>769</v>
      </c>
      <c r="B9" s="1">
        <v>10.0</v>
      </c>
    </row>
    <row r="10">
      <c r="A10" s="1" t="s">
        <v>771</v>
      </c>
      <c r="B10" s="1">
        <v>30.0</v>
      </c>
    </row>
    <row r="11">
      <c r="A11" s="1" t="s">
        <v>774</v>
      </c>
      <c r="B11" s="1">
        <v>30.0</v>
      </c>
    </row>
    <row r="12">
      <c r="A12" s="1" t="s">
        <v>775</v>
      </c>
      <c r="B12" s="1">
        <v>20.0</v>
      </c>
    </row>
    <row r="14">
      <c r="A14" s="1" t="s">
        <v>776</v>
      </c>
      <c r="B14" s="1">
        <v>10.0</v>
      </c>
    </row>
    <row r="15">
      <c r="A15" s="1" t="s">
        <v>777</v>
      </c>
      <c r="B15" s="1">
        <v>10.0</v>
      </c>
    </row>
    <row r="16">
      <c r="A16" s="1" t="s">
        <v>778</v>
      </c>
      <c r="B16" s="1">
        <v>40.0</v>
      </c>
    </row>
    <row r="17">
      <c r="A17" s="1" t="s">
        <v>779</v>
      </c>
      <c r="B17" s="1">
        <v>10.0</v>
      </c>
    </row>
    <row r="18">
      <c r="A18" s="1" t="s">
        <v>780</v>
      </c>
      <c r="B18" s="1">
        <v>20.0</v>
      </c>
    </row>
    <row r="19">
      <c r="A19" s="1" t="s">
        <v>781</v>
      </c>
      <c r="B19" s="1">
        <v>10.0</v>
      </c>
    </row>
    <row r="20">
      <c r="A20" s="1" t="s">
        <v>782</v>
      </c>
      <c r="B20" s="1">
        <v>20.0</v>
      </c>
    </row>
    <row r="21">
      <c r="A21" s="1" t="s">
        <v>783</v>
      </c>
      <c r="B21" s="1">
        <v>30.0</v>
      </c>
    </row>
    <row r="22">
      <c r="A22" s="1" t="s">
        <v>784</v>
      </c>
      <c r="B22" s="1">
        <v>30.0</v>
      </c>
    </row>
    <row r="23">
      <c r="A23" s="1" t="s">
        <v>785</v>
      </c>
      <c r="B23" s="1">
        <v>30.0</v>
      </c>
    </row>
    <row r="24">
      <c r="A24" s="1" t="s">
        <v>786</v>
      </c>
      <c r="B24" s="1">
        <v>10.0</v>
      </c>
    </row>
    <row r="25">
      <c r="A25" s="1" t="s">
        <v>787</v>
      </c>
      <c r="B25" s="1">
        <v>10.0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2.38"/>
    <col customWidth="1" min="3" max="3" width="26.25"/>
    <col customWidth="1" min="5" max="5" width="29.25"/>
  </cols>
  <sheetData>
    <row r="2">
      <c r="A2" s="1"/>
      <c r="B2" s="1"/>
    </row>
    <row r="5">
      <c r="A5" s="1" t="s">
        <v>770</v>
      </c>
      <c r="B5" s="1">
        <v>55.0</v>
      </c>
    </row>
    <row r="6">
      <c r="A6" s="1" t="s">
        <v>772</v>
      </c>
      <c r="B6" s="1">
        <v>25.0</v>
      </c>
    </row>
    <row r="7">
      <c r="A7" s="1" t="s">
        <v>773</v>
      </c>
      <c r="B7" s="1">
        <v>10.0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3" max="3" width="22.63"/>
  </cols>
  <sheetData>
    <row r="2">
      <c r="A2" s="1" t="s">
        <v>812</v>
      </c>
      <c r="B2" s="1">
        <v>100.0</v>
      </c>
    </row>
    <row r="5">
      <c r="A5" s="1" t="s">
        <v>818</v>
      </c>
      <c r="B5" s="1">
        <v>560.0</v>
      </c>
      <c r="C5" s="1" t="s">
        <v>696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22.0"/>
    <col customWidth="1" min="3" max="3" width="24.5"/>
    <col customWidth="1" min="5" max="5" width="25.38"/>
    <col customWidth="1" min="7" max="7" width="23.38"/>
    <col customWidth="1" min="8" max="8" width="24.63"/>
  </cols>
  <sheetData>
    <row r="2">
      <c r="A2" s="1" t="s">
        <v>788</v>
      </c>
      <c r="B2" s="1">
        <v>30.0</v>
      </c>
    </row>
    <row r="3">
      <c r="A3" s="1" t="s">
        <v>789</v>
      </c>
      <c r="B3" s="1">
        <v>10.0</v>
      </c>
    </row>
    <row r="4">
      <c r="A4" s="1" t="s">
        <v>790</v>
      </c>
      <c r="B4" s="1">
        <v>10.0</v>
      </c>
    </row>
    <row r="5">
      <c r="A5" s="1" t="s">
        <v>791</v>
      </c>
      <c r="B5" s="1">
        <v>10.0</v>
      </c>
    </row>
    <row r="7">
      <c r="A7" s="1" t="s">
        <v>792</v>
      </c>
      <c r="B7" s="1">
        <v>10.0</v>
      </c>
    </row>
    <row r="9">
      <c r="A9" s="1" t="s">
        <v>793</v>
      </c>
      <c r="B9" s="1">
        <v>50.0</v>
      </c>
    </row>
    <row r="10">
      <c r="A10" s="1" t="s">
        <v>795</v>
      </c>
      <c r="B10" s="1">
        <v>8.0</v>
      </c>
    </row>
    <row r="11">
      <c r="A11" s="1" t="s">
        <v>796</v>
      </c>
      <c r="B11" s="1">
        <v>10.0</v>
      </c>
    </row>
    <row r="13">
      <c r="A13" s="1" t="s">
        <v>798</v>
      </c>
      <c r="B13" s="1">
        <v>33.0</v>
      </c>
    </row>
    <row r="16">
      <c r="A16" s="1" t="s">
        <v>799</v>
      </c>
      <c r="B16" s="1">
        <v>55.0</v>
      </c>
    </row>
    <row r="17">
      <c r="A17" s="1" t="s">
        <v>800</v>
      </c>
      <c r="B17" s="1">
        <v>74.0</v>
      </c>
    </row>
    <row r="18">
      <c r="A18" s="1" t="s">
        <v>801</v>
      </c>
      <c r="B18" s="1">
        <v>45.0</v>
      </c>
    </row>
    <row r="19">
      <c r="B19" s="1"/>
    </row>
    <row r="20">
      <c r="A20" s="1" t="s">
        <v>803</v>
      </c>
      <c r="B20" s="1">
        <v>10.0</v>
      </c>
    </row>
    <row r="21">
      <c r="A21" s="1" t="s">
        <v>805</v>
      </c>
      <c r="B21" s="1">
        <v>60.0</v>
      </c>
    </row>
    <row r="22">
      <c r="A22" s="1" t="s">
        <v>806</v>
      </c>
      <c r="B22" s="1">
        <v>40.0</v>
      </c>
    </row>
    <row r="23">
      <c r="A23" s="1" t="s">
        <v>807</v>
      </c>
      <c r="B23" s="1">
        <v>60.0</v>
      </c>
    </row>
    <row r="25">
      <c r="A25" s="1" t="s">
        <v>808</v>
      </c>
      <c r="B25" s="1">
        <v>20.0</v>
      </c>
    </row>
    <row r="26">
      <c r="A26" s="1" t="s">
        <v>809</v>
      </c>
      <c r="B26" s="1">
        <v>30.0</v>
      </c>
    </row>
    <row r="27">
      <c r="A27" s="1" t="s">
        <v>811</v>
      </c>
      <c r="B27" s="1">
        <v>10.0</v>
      </c>
    </row>
    <row r="30">
      <c r="A30" s="1" t="s">
        <v>813</v>
      </c>
      <c r="B30" s="1">
        <v>30.0</v>
      </c>
    </row>
    <row r="31">
      <c r="A31" s="1" t="s">
        <v>814</v>
      </c>
      <c r="B31" s="1">
        <v>8.0</v>
      </c>
    </row>
    <row r="34">
      <c r="A34" s="1" t="s">
        <v>815</v>
      </c>
      <c r="B34" s="1">
        <v>73.0</v>
      </c>
    </row>
    <row r="35">
      <c r="A35" s="1" t="s">
        <v>817</v>
      </c>
      <c r="B35" s="1">
        <v>43.0</v>
      </c>
    </row>
    <row r="36">
      <c r="A36" s="1" t="s">
        <v>820</v>
      </c>
      <c r="B36" s="1">
        <v>49.0</v>
      </c>
    </row>
    <row r="37">
      <c r="A37" s="1" t="s">
        <v>822</v>
      </c>
      <c r="B37" s="1">
        <v>26.0</v>
      </c>
    </row>
    <row r="38">
      <c r="B38" s="1"/>
    </row>
    <row r="39">
      <c r="A39" s="1" t="s">
        <v>825</v>
      </c>
      <c r="B39" s="1">
        <v>20.0</v>
      </c>
    </row>
    <row r="40">
      <c r="A40" s="1" t="s">
        <v>827</v>
      </c>
      <c r="B40" s="1">
        <v>10.0</v>
      </c>
    </row>
    <row r="41">
      <c r="A41" s="1" t="s">
        <v>829</v>
      </c>
      <c r="B41" s="1">
        <v>130.0</v>
      </c>
    </row>
    <row r="42">
      <c r="A42" s="1" t="s">
        <v>831</v>
      </c>
      <c r="B42" s="1">
        <v>180.0</v>
      </c>
    </row>
    <row r="43">
      <c r="A43" s="1" t="s">
        <v>832</v>
      </c>
      <c r="B43" s="1">
        <v>40.0</v>
      </c>
    </row>
    <row r="44">
      <c r="A44" s="1" t="s">
        <v>833</v>
      </c>
      <c r="B44" s="1">
        <v>50.0</v>
      </c>
    </row>
    <row r="45">
      <c r="A45" s="1" t="s">
        <v>835</v>
      </c>
      <c r="B45" s="1">
        <v>40.0</v>
      </c>
    </row>
    <row r="46">
      <c r="A46" s="1" t="s">
        <v>837</v>
      </c>
      <c r="B46" s="1">
        <v>80.0</v>
      </c>
    </row>
    <row r="47">
      <c r="A47" s="1" t="s">
        <v>839</v>
      </c>
      <c r="B47" s="1">
        <v>180.0</v>
      </c>
    </row>
    <row r="48">
      <c r="A48" s="1" t="s">
        <v>841</v>
      </c>
      <c r="B48" s="1">
        <v>80.0</v>
      </c>
    </row>
    <row r="49">
      <c r="A49" s="1" t="s">
        <v>842</v>
      </c>
      <c r="B49" s="1">
        <v>80.0</v>
      </c>
    </row>
    <row r="50">
      <c r="A50" s="1" t="s">
        <v>843</v>
      </c>
      <c r="B50" s="1">
        <v>90.0</v>
      </c>
    </row>
    <row r="51">
      <c r="A51" s="1" t="s">
        <v>844</v>
      </c>
      <c r="B51" s="1">
        <v>190.0</v>
      </c>
    </row>
    <row r="52">
      <c r="A52" s="1" t="s">
        <v>845</v>
      </c>
      <c r="B52" s="1">
        <v>90.0</v>
      </c>
    </row>
    <row r="53">
      <c r="A53" s="1" t="s">
        <v>846</v>
      </c>
      <c r="B53" s="1">
        <v>80.0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20.5"/>
    <col customWidth="1" min="4" max="4" width="29.25"/>
  </cols>
  <sheetData>
    <row r="1">
      <c r="A1" s="1" t="s">
        <v>794</v>
      </c>
      <c r="B1" s="1">
        <v>66.0</v>
      </c>
    </row>
    <row r="3">
      <c r="A3" s="1" t="s">
        <v>797</v>
      </c>
      <c r="B3" s="1">
        <v>130.0</v>
      </c>
      <c r="D3" s="82"/>
    </row>
    <row r="4">
      <c r="A4" s="1" t="s">
        <v>802</v>
      </c>
      <c r="B4" s="1">
        <v>72.0</v>
      </c>
      <c r="D4" s="82"/>
    </row>
    <row r="5">
      <c r="A5" s="1" t="s">
        <v>804</v>
      </c>
      <c r="B5" s="1">
        <v>158.0</v>
      </c>
      <c r="D5" s="82"/>
    </row>
    <row r="6">
      <c r="D6" s="82"/>
    </row>
    <row r="8">
      <c r="C8" s="5"/>
    </row>
    <row r="9">
      <c r="C9" s="5"/>
    </row>
    <row r="10">
      <c r="C10" s="5"/>
    </row>
    <row r="11">
      <c r="C11" s="5"/>
      <c r="F11" s="1" t="s">
        <v>810</v>
      </c>
    </row>
    <row r="12">
      <c r="C12" s="5"/>
    </row>
    <row r="13">
      <c r="C13" s="5"/>
    </row>
    <row r="14">
      <c r="C14" s="5"/>
    </row>
    <row r="15">
      <c r="C15" s="5"/>
    </row>
    <row r="16">
      <c r="C16" s="5"/>
    </row>
    <row r="17">
      <c r="C17" s="5"/>
    </row>
    <row r="18">
      <c r="C18" s="5"/>
    </row>
    <row r="19">
      <c r="C19" s="5"/>
    </row>
    <row r="20">
      <c r="C20" s="5"/>
    </row>
    <row r="21">
      <c r="C21" s="5"/>
    </row>
    <row r="22">
      <c r="C22" s="5"/>
    </row>
    <row r="23">
      <c r="C23" s="5"/>
    </row>
    <row r="24">
      <c r="C24" s="5"/>
    </row>
    <row r="25">
      <c r="C25" s="5"/>
    </row>
    <row r="26">
      <c r="C26" s="5"/>
    </row>
    <row r="27">
      <c r="C27" s="5"/>
    </row>
    <row r="28">
      <c r="C28" s="5"/>
    </row>
    <row r="29">
      <c r="C29" s="5"/>
    </row>
    <row r="30">
      <c r="C30" s="5"/>
    </row>
    <row r="31">
      <c r="C31" s="5"/>
    </row>
    <row r="32">
      <c r="C32" s="5"/>
    </row>
    <row r="33">
      <c r="C33" s="5"/>
    </row>
    <row r="34">
      <c r="C34" s="5"/>
    </row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C43" s="5"/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3" max="3" width="27.0"/>
    <col customWidth="1" min="6" max="6" width="22.88"/>
  </cols>
  <sheetData>
    <row r="3">
      <c r="A3" s="1" t="s">
        <v>816</v>
      </c>
      <c r="B3" s="1">
        <v>10.0</v>
      </c>
    </row>
    <row r="5">
      <c r="A5" s="1" t="s">
        <v>819</v>
      </c>
      <c r="B5" s="1">
        <v>20.0</v>
      </c>
    </row>
    <row r="6">
      <c r="A6" s="1" t="s">
        <v>821</v>
      </c>
      <c r="B6" s="1">
        <v>10.0</v>
      </c>
    </row>
    <row r="8">
      <c r="A8" s="1" t="s">
        <v>823</v>
      </c>
      <c r="B8" s="1">
        <v>70.0</v>
      </c>
    </row>
    <row r="9">
      <c r="A9" s="1" t="s">
        <v>824</v>
      </c>
      <c r="B9" s="1">
        <v>70.0</v>
      </c>
    </row>
    <row r="10">
      <c r="A10" s="1" t="s">
        <v>826</v>
      </c>
      <c r="B10" s="1">
        <v>10.0</v>
      </c>
    </row>
    <row r="11">
      <c r="A11" s="1" t="s">
        <v>828</v>
      </c>
      <c r="B11" s="1">
        <v>70.0</v>
      </c>
    </row>
    <row r="12">
      <c r="A12" s="1" t="s">
        <v>830</v>
      </c>
      <c r="B12" s="1">
        <v>20.0</v>
      </c>
    </row>
    <row r="13">
      <c r="A13" s="1" t="s">
        <v>834</v>
      </c>
      <c r="B13" s="1">
        <v>30.0</v>
      </c>
    </row>
    <row r="14">
      <c r="A14" s="1" t="s">
        <v>836</v>
      </c>
      <c r="B14" s="1">
        <v>90.0</v>
      </c>
    </row>
    <row r="15">
      <c r="A15" s="1" t="s">
        <v>838</v>
      </c>
      <c r="B15" s="1">
        <v>40.0</v>
      </c>
    </row>
    <row r="16">
      <c r="A16" s="1" t="s">
        <v>840</v>
      </c>
      <c r="B16" s="1">
        <v>40.0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3" max="3" width="23.88"/>
    <col customWidth="1" min="5" max="5" width="27.25"/>
  </cols>
  <sheetData>
    <row r="1">
      <c r="A1" s="1" t="s">
        <v>847</v>
      </c>
      <c r="B1" s="1">
        <v>140.0</v>
      </c>
    </row>
    <row r="2">
      <c r="A2" s="1" t="s">
        <v>848</v>
      </c>
      <c r="B2" s="1">
        <v>70.0</v>
      </c>
    </row>
    <row r="3">
      <c r="A3" s="1" t="s">
        <v>849</v>
      </c>
      <c r="B3" s="1">
        <v>30.0</v>
      </c>
    </row>
    <row r="4">
      <c r="A4" s="1" t="s">
        <v>850</v>
      </c>
      <c r="B4" s="1">
        <v>340.0</v>
      </c>
    </row>
    <row r="5">
      <c r="A5" s="1" t="s">
        <v>851</v>
      </c>
      <c r="B5" s="1">
        <v>110.0</v>
      </c>
    </row>
    <row r="6">
      <c r="A6" s="1" t="s">
        <v>852</v>
      </c>
      <c r="B6" s="1">
        <v>300.0</v>
      </c>
    </row>
    <row r="7">
      <c r="A7" s="1" t="s">
        <v>853</v>
      </c>
      <c r="B7" s="1">
        <v>80.0</v>
      </c>
    </row>
    <row r="8">
      <c r="A8" s="1" t="s">
        <v>854</v>
      </c>
      <c r="B8" s="1">
        <v>180.0</v>
      </c>
    </row>
    <row r="9">
      <c r="A9" s="1" t="s">
        <v>855</v>
      </c>
      <c r="B9" s="1">
        <v>260.0</v>
      </c>
    </row>
    <row r="10">
      <c r="A10" s="1" t="s">
        <v>856</v>
      </c>
      <c r="B10" s="1">
        <v>160.0</v>
      </c>
    </row>
    <row r="11">
      <c r="A11" s="1" t="s">
        <v>857</v>
      </c>
      <c r="B11" s="1">
        <v>130.0</v>
      </c>
    </row>
    <row r="12">
      <c r="A12" s="1" t="s">
        <v>858</v>
      </c>
      <c r="B12" s="1">
        <v>170.0</v>
      </c>
    </row>
    <row r="13">
      <c r="A13" s="1" t="s">
        <v>859</v>
      </c>
      <c r="B13" s="1">
        <v>100.0</v>
      </c>
    </row>
    <row r="14">
      <c r="A14" s="1" t="s">
        <v>860</v>
      </c>
      <c r="B14" s="1">
        <v>180.0</v>
      </c>
    </row>
    <row r="15">
      <c r="A15" s="1" t="s">
        <v>861</v>
      </c>
      <c r="B15" s="1">
        <v>70.0</v>
      </c>
    </row>
    <row r="16">
      <c r="A16" s="1" t="s">
        <v>862</v>
      </c>
      <c r="B16" s="1">
        <v>130.0</v>
      </c>
    </row>
    <row r="17">
      <c r="A17" s="1" t="s">
        <v>863</v>
      </c>
      <c r="B17" s="1">
        <v>240.0</v>
      </c>
    </row>
    <row r="18">
      <c r="A18" s="1" t="s">
        <v>864</v>
      </c>
      <c r="B18" s="1">
        <v>250.0</v>
      </c>
    </row>
    <row r="19">
      <c r="A19" s="1" t="s">
        <v>865</v>
      </c>
      <c r="B19" s="1">
        <v>70.0</v>
      </c>
    </row>
    <row r="20">
      <c r="A20" s="1" t="s">
        <v>866</v>
      </c>
      <c r="B20" s="1">
        <v>100.0</v>
      </c>
    </row>
    <row r="21">
      <c r="A21" s="1" t="s">
        <v>867</v>
      </c>
      <c r="B21" s="1">
        <v>330.0</v>
      </c>
    </row>
    <row r="22">
      <c r="A22" s="1" t="s">
        <v>868</v>
      </c>
      <c r="B22" s="1">
        <v>70.0</v>
      </c>
    </row>
    <row r="23">
      <c r="A23" s="1" t="s">
        <v>869</v>
      </c>
      <c r="B23" s="1">
        <v>40.0</v>
      </c>
    </row>
    <row r="24">
      <c r="A24" s="1" t="s">
        <v>870</v>
      </c>
      <c r="B24" s="1">
        <v>20.0</v>
      </c>
    </row>
    <row r="25">
      <c r="A25" s="1" t="s">
        <v>871</v>
      </c>
      <c r="B25" s="1">
        <v>30.0</v>
      </c>
    </row>
    <row r="26">
      <c r="A26" s="1" t="s">
        <v>872</v>
      </c>
      <c r="B26" s="1">
        <v>30.0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3" max="3" width="29.13"/>
  </cols>
  <sheetData>
    <row r="1">
      <c r="A1" s="1" t="s">
        <v>873</v>
      </c>
      <c r="B1" s="1">
        <v>20.0</v>
      </c>
    </row>
    <row r="3">
      <c r="A3" s="1" t="s">
        <v>874</v>
      </c>
      <c r="B3" s="1">
        <v>17.0</v>
      </c>
    </row>
    <row r="7">
      <c r="A7" s="1" t="s">
        <v>875</v>
      </c>
      <c r="B7" s="1">
        <v>10.0</v>
      </c>
    </row>
    <row r="8">
      <c r="A8" s="1" t="s">
        <v>876</v>
      </c>
      <c r="B8" s="1">
        <v>10.0</v>
      </c>
    </row>
    <row r="9">
      <c r="A9" s="1" t="s">
        <v>877</v>
      </c>
      <c r="B9" s="1">
        <v>30.0</v>
      </c>
    </row>
    <row r="10">
      <c r="A10" s="1" t="s">
        <v>878</v>
      </c>
      <c r="B10" s="1">
        <v>20.0</v>
      </c>
    </row>
    <row r="11">
      <c r="A11" s="1" t="s">
        <v>879</v>
      </c>
      <c r="B11" s="1">
        <v>20.0</v>
      </c>
    </row>
    <row r="13">
      <c r="A13" s="1" t="s">
        <v>880</v>
      </c>
      <c r="B13" s="1">
        <v>10.0</v>
      </c>
    </row>
    <row r="14">
      <c r="A14" s="1" t="s">
        <v>881</v>
      </c>
      <c r="B14" s="1">
        <v>20.0</v>
      </c>
    </row>
    <row r="15">
      <c r="A15" s="1" t="s">
        <v>882</v>
      </c>
      <c r="B15" s="1">
        <v>20.0</v>
      </c>
    </row>
    <row r="19">
      <c r="A19" s="1" t="s">
        <v>883</v>
      </c>
      <c r="B19" s="1">
        <v>20.0</v>
      </c>
    </row>
    <row r="20">
      <c r="A20" s="1" t="s">
        <v>884</v>
      </c>
      <c r="B20" s="1">
        <v>50.0</v>
      </c>
    </row>
    <row r="21">
      <c r="A21" s="1" t="s">
        <v>885</v>
      </c>
      <c r="B21" s="1">
        <v>30.0</v>
      </c>
    </row>
    <row r="22">
      <c r="A22" s="1" t="s">
        <v>886</v>
      </c>
      <c r="B22" s="1">
        <v>30.0</v>
      </c>
    </row>
    <row r="24">
      <c r="A24" s="1" t="s">
        <v>887</v>
      </c>
      <c r="B24" s="1">
        <v>20.0</v>
      </c>
    </row>
    <row r="25">
      <c r="A25" s="1" t="s">
        <v>888</v>
      </c>
      <c r="B25" s="1">
        <v>30.0</v>
      </c>
    </row>
    <row r="28">
      <c r="A28" s="1" t="s">
        <v>889</v>
      </c>
      <c r="B28" s="1">
        <v>40.0</v>
      </c>
    </row>
    <row r="29">
      <c r="A29" s="1" t="s">
        <v>890</v>
      </c>
      <c r="B29" s="1">
        <v>30.0</v>
      </c>
    </row>
    <row r="30">
      <c r="A30" s="1" t="s">
        <v>891</v>
      </c>
      <c r="B30" s="1">
        <v>30.0</v>
      </c>
    </row>
    <row r="31">
      <c r="A31" s="1" t="s">
        <v>892</v>
      </c>
      <c r="B31" s="1">
        <v>30.0</v>
      </c>
    </row>
    <row r="32">
      <c r="A32" s="1" t="s">
        <v>893</v>
      </c>
      <c r="B32" s="1">
        <v>80.0</v>
      </c>
    </row>
    <row r="33">
      <c r="A33" s="1" t="s">
        <v>894</v>
      </c>
      <c r="B33" s="1">
        <v>20.0</v>
      </c>
    </row>
    <row r="34">
      <c r="A34" s="1" t="s">
        <v>895</v>
      </c>
      <c r="B34" s="1">
        <v>30.0</v>
      </c>
    </row>
    <row r="42">
      <c r="A42" s="2"/>
    </row>
    <row r="43">
      <c r="A43" s="37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3" max="3" width="29.0"/>
    <col customWidth="1" min="5" max="5" width="23.0"/>
  </cols>
  <sheetData>
    <row r="3">
      <c r="C3" s="1"/>
      <c r="E3" s="1"/>
    </row>
    <row r="10">
      <c r="A10" s="1" t="s">
        <v>896</v>
      </c>
      <c r="B10" s="1">
        <v>160.0</v>
      </c>
    </row>
    <row r="11">
      <c r="A11" s="1" t="s">
        <v>897</v>
      </c>
      <c r="B11" s="1">
        <v>120.0</v>
      </c>
    </row>
    <row r="12">
      <c r="A12" s="1" t="s">
        <v>898</v>
      </c>
      <c r="B12" s="1">
        <v>100.0</v>
      </c>
    </row>
    <row r="13">
      <c r="A13" s="1" t="s">
        <v>899</v>
      </c>
      <c r="B13" s="1">
        <v>110.0</v>
      </c>
    </row>
    <row r="14">
      <c r="A14" s="1" t="s">
        <v>900</v>
      </c>
      <c r="B14" s="1">
        <v>80.0</v>
      </c>
    </row>
    <row r="15">
      <c r="A15" s="1" t="s">
        <v>901</v>
      </c>
      <c r="B15" s="1">
        <v>60.0</v>
      </c>
    </row>
    <row r="16">
      <c r="A16" s="1" t="s">
        <v>902</v>
      </c>
      <c r="B16" s="1">
        <v>180.0</v>
      </c>
    </row>
    <row r="17">
      <c r="A17" s="1" t="s">
        <v>903</v>
      </c>
      <c r="B17" s="1">
        <v>70.0</v>
      </c>
    </row>
    <row r="18">
      <c r="A18" s="1" t="s">
        <v>904</v>
      </c>
      <c r="B18" s="1">
        <v>70.0</v>
      </c>
    </row>
    <row r="19">
      <c r="C19" s="1"/>
      <c r="E19" s="1"/>
    </row>
    <row r="20">
      <c r="C20" s="1"/>
      <c r="E20" s="1"/>
    </row>
    <row r="21">
      <c r="C21" s="1"/>
      <c r="E21" s="1"/>
    </row>
    <row r="23">
      <c r="C23" s="1"/>
      <c r="E23" s="1"/>
    </row>
    <row r="24">
      <c r="C24" s="1"/>
      <c r="E24" s="1"/>
    </row>
    <row r="25">
      <c r="C25" s="1"/>
      <c r="E25" s="1"/>
    </row>
    <row r="35">
      <c r="C35" s="1"/>
      <c r="D35" s="1"/>
    </row>
    <row r="36">
      <c r="C36" s="1"/>
      <c r="D36" s="1"/>
    </row>
    <row r="37">
      <c r="C37" s="1"/>
      <c r="D37" s="1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3" max="3" width="29.88"/>
    <col customWidth="1" min="5" max="5" width="18.5"/>
  </cols>
  <sheetData>
    <row r="1">
      <c r="A1" s="1" t="s">
        <v>905</v>
      </c>
      <c r="B1" s="1">
        <v>50.0</v>
      </c>
    </row>
    <row r="2">
      <c r="A2" s="1" t="s">
        <v>906</v>
      </c>
      <c r="B2" s="1">
        <v>80.0</v>
      </c>
    </row>
    <row r="3">
      <c r="A3" s="1" t="s">
        <v>907</v>
      </c>
      <c r="B3" s="1">
        <v>110.0</v>
      </c>
    </row>
    <row r="4">
      <c r="A4" s="1" t="s">
        <v>908</v>
      </c>
      <c r="B4" s="1">
        <v>80.0</v>
      </c>
    </row>
    <row r="5">
      <c r="A5" s="1" t="s">
        <v>909</v>
      </c>
      <c r="B5" s="1">
        <v>30.0</v>
      </c>
    </row>
    <row r="6">
      <c r="A6" s="1" t="s">
        <v>910</v>
      </c>
      <c r="B6" s="1">
        <v>140.0</v>
      </c>
    </row>
    <row r="7">
      <c r="A7" s="1" t="s">
        <v>911</v>
      </c>
      <c r="B7" s="1">
        <v>70.0</v>
      </c>
    </row>
    <row r="8">
      <c r="A8" s="1" t="s">
        <v>912</v>
      </c>
      <c r="B8" s="1">
        <v>30.0</v>
      </c>
    </row>
    <row r="9">
      <c r="A9" s="1" t="s">
        <v>913</v>
      </c>
      <c r="B9" s="1">
        <v>70.0</v>
      </c>
    </row>
    <row r="11">
      <c r="A11" s="1" t="s">
        <v>914</v>
      </c>
      <c r="B11" s="1">
        <v>30.0</v>
      </c>
    </row>
    <row r="12">
      <c r="A12" s="1" t="s">
        <v>915</v>
      </c>
      <c r="B12" s="1">
        <v>70.0</v>
      </c>
    </row>
    <row r="13">
      <c r="A13" s="1" t="s">
        <v>916</v>
      </c>
      <c r="B13" s="1">
        <v>30.0</v>
      </c>
    </row>
    <row r="14">
      <c r="A14" s="1" t="s">
        <v>917</v>
      </c>
      <c r="B14" s="1">
        <v>40.0</v>
      </c>
    </row>
    <row r="15">
      <c r="A15" s="1" t="s">
        <v>918</v>
      </c>
      <c r="B15" s="1">
        <v>70.0</v>
      </c>
    </row>
    <row r="16">
      <c r="A16" s="1" t="s">
        <v>919</v>
      </c>
      <c r="B16" s="1">
        <v>90.0</v>
      </c>
    </row>
    <row r="17">
      <c r="A17" s="1" t="s">
        <v>920</v>
      </c>
      <c r="B17" s="1">
        <v>39.0</v>
      </c>
    </row>
    <row r="18">
      <c r="A18" s="1" t="s">
        <v>921</v>
      </c>
      <c r="B18" s="1">
        <v>11.0</v>
      </c>
    </row>
    <row r="19">
      <c r="A19" s="1" t="s">
        <v>922</v>
      </c>
      <c r="B19" s="1">
        <v>80.0</v>
      </c>
    </row>
    <row r="20">
      <c r="A20" s="1" t="s">
        <v>923</v>
      </c>
      <c r="B20" s="1">
        <v>30.0</v>
      </c>
    </row>
    <row r="21">
      <c r="A21" s="1" t="s">
        <v>924</v>
      </c>
      <c r="B21" s="1">
        <v>9.0</v>
      </c>
    </row>
    <row r="22">
      <c r="A22" s="1" t="s">
        <v>925</v>
      </c>
      <c r="B22" s="1">
        <v>20.0</v>
      </c>
    </row>
    <row r="23">
      <c r="A23" s="1" t="s">
        <v>926</v>
      </c>
      <c r="B23" s="1">
        <v>60.0</v>
      </c>
    </row>
    <row r="24">
      <c r="A24" s="1" t="s">
        <v>927</v>
      </c>
      <c r="B24" s="1">
        <v>60.0</v>
      </c>
    </row>
    <row r="25">
      <c r="A25" s="1" t="s">
        <v>928</v>
      </c>
      <c r="B25" s="1">
        <v>20.0</v>
      </c>
    </row>
    <row r="26">
      <c r="A26" s="1" t="s">
        <v>929</v>
      </c>
      <c r="B26" s="1">
        <v>30.0</v>
      </c>
    </row>
    <row r="27">
      <c r="A27" s="1" t="s">
        <v>930</v>
      </c>
      <c r="B27" s="1">
        <v>20.0</v>
      </c>
    </row>
    <row r="28">
      <c r="A28" s="1" t="s">
        <v>931</v>
      </c>
      <c r="B28" s="1">
        <v>50.0</v>
      </c>
    </row>
    <row r="29">
      <c r="A29" s="1" t="s">
        <v>932</v>
      </c>
      <c r="B29" s="1">
        <v>10.0</v>
      </c>
    </row>
    <row r="30">
      <c r="A30" s="1" t="s">
        <v>933</v>
      </c>
      <c r="B30" s="1">
        <v>10.0</v>
      </c>
    </row>
    <row r="31">
      <c r="A31" s="1" t="s">
        <v>934</v>
      </c>
      <c r="B31" s="1">
        <v>30.0</v>
      </c>
    </row>
    <row r="32">
      <c r="A32" s="1" t="s">
        <v>935</v>
      </c>
      <c r="B32" s="1">
        <v>30.0</v>
      </c>
    </row>
    <row r="33">
      <c r="A33" s="1" t="s">
        <v>936</v>
      </c>
      <c r="B33" s="1">
        <v>30.0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</cols>
  <sheetData>
    <row r="2">
      <c r="A2" s="1" t="s">
        <v>937</v>
      </c>
      <c r="B2" s="1">
        <v>10.0</v>
      </c>
    </row>
    <row r="4">
      <c r="A4" s="1" t="s">
        <v>938</v>
      </c>
      <c r="B4" s="1">
        <v>30.0</v>
      </c>
    </row>
    <row r="5">
      <c r="A5" s="1" t="s">
        <v>939</v>
      </c>
      <c r="B5" s="1">
        <v>20.0</v>
      </c>
    </row>
    <row r="6">
      <c r="A6" s="1" t="s">
        <v>940</v>
      </c>
      <c r="B6" s="1">
        <v>20.0</v>
      </c>
    </row>
    <row r="7">
      <c r="A7" s="1" t="s">
        <v>941</v>
      </c>
      <c r="B7" s="1">
        <v>10.0</v>
      </c>
    </row>
    <row r="9">
      <c r="A9" s="1" t="s">
        <v>942</v>
      </c>
      <c r="B9" s="1">
        <v>20.0</v>
      </c>
    </row>
    <row r="10">
      <c r="A10" s="1" t="s">
        <v>943</v>
      </c>
      <c r="B10" s="1">
        <v>20.0</v>
      </c>
    </row>
    <row r="11">
      <c r="A11" s="1" t="s">
        <v>944</v>
      </c>
      <c r="B11" s="1">
        <v>10.0</v>
      </c>
    </row>
    <row r="12">
      <c r="A12" s="1" t="s">
        <v>945</v>
      </c>
      <c r="B12" s="1">
        <v>30.0</v>
      </c>
    </row>
    <row r="14">
      <c r="A14" s="1" t="s">
        <v>946</v>
      </c>
      <c r="B14" s="1">
        <v>20.0</v>
      </c>
    </row>
    <row r="15">
      <c r="A15" s="1" t="s">
        <v>947</v>
      </c>
      <c r="B15" s="1">
        <v>10.0</v>
      </c>
    </row>
    <row r="16">
      <c r="A16" s="1" t="s">
        <v>948</v>
      </c>
      <c r="B16" s="1">
        <v>20.0</v>
      </c>
    </row>
    <row r="17">
      <c r="A17" s="1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3" max="3" width="15.88"/>
  </cols>
  <sheetData>
    <row r="1">
      <c r="A1" s="1" t="s">
        <v>949</v>
      </c>
      <c r="B1" s="1">
        <v>10.0</v>
      </c>
    </row>
    <row r="2">
      <c r="A2" s="1" t="s">
        <v>950</v>
      </c>
      <c r="B2" s="1">
        <v>20.0</v>
      </c>
    </row>
    <row r="4">
      <c r="A4" s="1" t="s">
        <v>951</v>
      </c>
      <c r="B4" s="1">
        <v>10.0</v>
      </c>
    </row>
    <row r="7">
      <c r="A7" s="1" t="s">
        <v>952</v>
      </c>
      <c r="B7" s="1">
        <v>20.0</v>
      </c>
    </row>
    <row r="8">
      <c r="A8" s="1" t="s">
        <v>953</v>
      </c>
      <c r="B8" s="1">
        <v>10.0</v>
      </c>
    </row>
    <row r="9">
      <c r="A9" s="1" t="s">
        <v>954</v>
      </c>
      <c r="B9" s="1">
        <v>30.0</v>
      </c>
    </row>
    <row r="15">
      <c r="A15" s="1" t="s">
        <v>955</v>
      </c>
      <c r="B15" s="1">
        <v>10.0</v>
      </c>
    </row>
    <row r="16">
      <c r="A16" s="1" t="s">
        <v>956</v>
      </c>
      <c r="B16" s="1">
        <v>20.0</v>
      </c>
    </row>
    <row r="17">
      <c r="A17" s="1" t="s">
        <v>957</v>
      </c>
      <c r="B17" s="1">
        <v>10.0</v>
      </c>
    </row>
    <row r="19">
      <c r="A19" s="1" t="s">
        <v>958</v>
      </c>
      <c r="B19" s="1">
        <v>20.0</v>
      </c>
    </row>
    <row r="20">
      <c r="A20" s="1" t="s">
        <v>959</v>
      </c>
      <c r="B20" s="1">
        <v>30.0</v>
      </c>
    </row>
    <row r="21">
      <c r="A21" s="1" t="s">
        <v>960</v>
      </c>
      <c r="B21" s="1">
        <v>30.0</v>
      </c>
    </row>
    <row r="23">
      <c r="A23" s="1" t="s">
        <v>961</v>
      </c>
      <c r="B23" s="1">
        <v>20.0</v>
      </c>
    </row>
    <row r="24">
      <c r="A24" s="1" t="s">
        <v>962</v>
      </c>
      <c r="B24" s="1">
        <v>30.0</v>
      </c>
    </row>
    <row r="26">
      <c r="A26" s="1" t="s">
        <v>963</v>
      </c>
      <c r="B26" s="1">
        <v>20.0</v>
      </c>
    </row>
    <row r="27">
      <c r="A27" s="1" t="s">
        <v>964</v>
      </c>
      <c r="B27" s="1">
        <v>30.0</v>
      </c>
    </row>
    <row r="28">
      <c r="A28" s="1" t="s">
        <v>965</v>
      </c>
      <c r="B28" s="1">
        <v>30.0</v>
      </c>
    </row>
    <row r="29">
      <c r="A29" s="1" t="s">
        <v>966</v>
      </c>
      <c r="B29" s="1">
        <v>20.0</v>
      </c>
    </row>
    <row r="30">
      <c r="A30" s="1" t="s">
        <v>967</v>
      </c>
      <c r="B30" s="1">
        <v>30.0</v>
      </c>
    </row>
    <row r="31">
      <c r="A31" s="1" t="s">
        <v>968</v>
      </c>
      <c r="B31" s="1">
        <v>20.0</v>
      </c>
    </row>
    <row r="32">
      <c r="A32" s="1" t="s">
        <v>969</v>
      </c>
      <c r="B32" s="1">
        <v>20.0</v>
      </c>
    </row>
    <row r="33">
      <c r="A33" s="1" t="s">
        <v>970</v>
      </c>
      <c r="B33" s="1">
        <v>30.0</v>
      </c>
    </row>
    <row r="34">
      <c r="A34" s="1" t="s">
        <v>971</v>
      </c>
      <c r="B34" s="1">
        <v>40.0</v>
      </c>
    </row>
    <row r="35">
      <c r="A35" s="1" t="s">
        <v>972</v>
      </c>
      <c r="B35" s="1">
        <v>30.0</v>
      </c>
    </row>
    <row r="36">
      <c r="A36" s="1" t="s">
        <v>973</v>
      </c>
      <c r="B36" s="1">
        <v>20.0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33.38"/>
  </cols>
  <sheetData>
    <row r="2">
      <c r="A2" s="1" t="s">
        <v>974</v>
      </c>
      <c r="B2" s="1">
        <v>16.0</v>
      </c>
    </row>
    <row r="4">
      <c r="A4" s="1" t="s">
        <v>975</v>
      </c>
      <c r="B4" s="1">
        <v>44.0</v>
      </c>
    </row>
    <row r="5">
      <c r="A5" s="1" t="s">
        <v>976</v>
      </c>
      <c r="B5" s="1">
        <v>16.0</v>
      </c>
    </row>
    <row r="8">
      <c r="A8" s="1" t="s">
        <v>977</v>
      </c>
      <c r="B8" s="1">
        <v>13.0</v>
      </c>
    </row>
    <row r="14">
      <c r="A14" s="1" t="s">
        <v>978</v>
      </c>
      <c r="B14" s="1">
        <v>50.0</v>
      </c>
    </row>
    <row r="15">
      <c r="A15" s="1" t="s">
        <v>979</v>
      </c>
      <c r="B15" s="1">
        <v>57.0</v>
      </c>
    </row>
    <row r="16">
      <c r="A16" s="1" t="s">
        <v>980</v>
      </c>
      <c r="B16" s="1">
        <v>92.0</v>
      </c>
    </row>
    <row r="17">
      <c r="A17" s="1" t="s">
        <v>981</v>
      </c>
      <c r="B17" s="1">
        <v>25.0</v>
      </c>
    </row>
    <row r="18">
      <c r="A18" s="1" t="s">
        <v>982</v>
      </c>
      <c r="B18" s="1">
        <v>50.0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3" max="3" width="29.88"/>
  </cols>
  <sheetData>
    <row r="1">
      <c r="A1" s="1" t="s">
        <v>989</v>
      </c>
      <c r="B1" s="1">
        <v>30.0</v>
      </c>
    </row>
    <row r="2">
      <c r="A2" s="1" t="s">
        <v>992</v>
      </c>
      <c r="B2" s="1">
        <v>80.0</v>
      </c>
    </row>
    <row r="3">
      <c r="A3" s="1" t="s">
        <v>996</v>
      </c>
      <c r="B3" s="1">
        <v>170.0</v>
      </c>
    </row>
    <row r="4">
      <c r="A4" s="1" t="s">
        <v>999</v>
      </c>
      <c r="B4" s="1">
        <v>10.0</v>
      </c>
    </row>
    <row r="5">
      <c r="A5" s="1" t="s">
        <v>1001</v>
      </c>
      <c r="B5" s="1">
        <v>50.0</v>
      </c>
    </row>
    <row r="6">
      <c r="A6" s="1" t="s">
        <v>1002</v>
      </c>
      <c r="B6" s="1">
        <v>110.0</v>
      </c>
    </row>
    <row r="7">
      <c r="A7" s="1" t="s">
        <v>1004</v>
      </c>
      <c r="B7" s="1">
        <v>40.0</v>
      </c>
    </row>
    <row r="8">
      <c r="A8" s="1" t="s">
        <v>1007</v>
      </c>
      <c r="B8" s="1">
        <v>40.0</v>
      </c>
    </row>
    <row r="9">
      <c r="A9" s="1" t="s">
        <v>1010</v>
      </c>
      <c r="B9" s="1">
        <v>90.0</v>
      </c>
    </row>
    <row r="10">
      <c r="A10" s="1" t="s">
        <v>1013</v>
      </c>
      <c r="B10" s="1">
        <v>30.0</v>
      </c>
    </row>
    <row r="11">
      <c r="A11" s="1" t="s">
        <v>1016</v>
      </c>
      <c r="B11" s="1">
        <v>30.0</v>
      </c>
    </row>
    <row r="12">
      <c r="A12" s="1" t="s">
        <v>1017</v>
      </c>
      <c r="B12" s="1">
        <v>60.0</v>
      </c>
    </row>
    <row r="13">
      <c r="A13" s="1" t="s">
        <v>1018</v>
      </c>
      <c r="B13" s="1">
        <v>60.0</v>
      </c>
    </row>
    <row r="14">
      <c r="A14" s="1" t="s">
        <v>1019</v>
      </c>
      <c r="B14" s="1">
        <v>10.0</v>
      </c>
    </row>
    <row r="15">
      <c r="A15" s="1" t="s">
        <v>1020</v>
      </c>
      <c r="B15" s="1">
        <v>60.0</v>
      </c>
    </row>
    <row r="16">
      <c r="A16" s="1" t="s">
        <v>1021</v>
      </c>
      <c r="B16" s="1">
        <v>30.0</v>
      </c>
    </row>
    <row r="17">
      <c r="A17" s="1" t="s">
        <v>1022</v>
      </c>
      <c r="B17" s="1">
        <v>50.0</v>
      </c>
    </row>
    <row r="18">
      <c r="A18" s="1" t="s">
        <v>1023</v>
      </c>
      <c r="B18" s="1">
        <v>80.0</v>
      </c>
    </row>
    <row r="19">
      <c r="A19" s="1" t="s">
        <v>1024</v>
      </c>
      <c r="B19" s="1">
        <v>280.0</v>
      </c>
    </row>
    <row r="20">
      <c r="A20" s="1" t="s">
        <v>1025</v>
      </c>
      <c r="B20" s="1">
        <v>20.0</v>
      </c>
    </row>
    <row r="21">
      <c r="A21" s="1" t="s">
        <v>1026</v>
      </c>
      <c r="B21" s="1">
        <v>80.0</v>
      </c>
    </row>
    <row r="22">
      <c r="A22" s="1" t="s">
        <v>1027</v>
      </c>
      <c r="B22" s="1">
        <v>30.0</v>
      </c>
    </row>
    <row r="23">
      <c r="A23" s="1" t="s">
        <v>1028</v>
      </c>
      <c r="B23" s="1">
        <v>40.0</v>
      </c>
    </row>
    <row r="24">
      <c r="A24" s="1" t="s">
        <v>1029</v>
      </c>
      <c r="B24" s="1">
        <v>30.0</v>
      </c>
    </row>
    <row r="25">
      <c r="A25" s="1" t="s">
        <v>1030</v>
      </c>
      <c r="B25" s="1">
        <v>40.0</v>
      </c>
    </row>
    <row r="26">
      <c r="A26" s="1" t="s">
        <v>1031</v>
      </c>
      <c r="B26" s="1">
        <v>70.0</v>
      </c>
    </row>
    <row r="27">
      <c r="A27" s="1" t="s">
        <v>1032</v>
      </c>
      <c r="B27" s="1">
        <v>70.0</v>
      </c>
    </row>
    <row r="28">
      <c r="A28" s="1" t="s">
        <v>1033</v>
      </c>
      <c r="B28" s="1">
        <v>30.0</v>
      </c>
    </row>
    <row r="30">
      <c r="A30" s="1" t="s">
        <v>1034</v>
      </c>
      <c r="B30" s="1">
        <v>30.0</v>
      </c>
    </row>
    <row r="31">
      <c r="A31" s="1" t="s">
        <v>1035</v>
      </c>
      <c r="B31" s="1">
        <v>90.0</v>
      </c>
    </row>
    <row r="32">
      <c r="A32" s="1" t="s">
        <v>1036</v>
      </c>
      <c r="B32" s="1">
        <v>80.0</v>
      </c>
    </row>
    <row r="33">
      <c r="A33" s="1" t="s">
        <v>1037</v>
      </c>
      <c r="B33" s="1">
        <v>50.0</v>
      </c>
    </row>
    <row r="34">
      <c r="A34" s="1" t="s">
        <v>1038</v>
      </c>
      <c r="B34" s="1">
        <v>50.0</v>
      </c>
    </row>
    <row r="35">
      <c r="A35" s="1" t="s">
        <v>1039</v>
      </c>
      <c r="B35" s="1">
        <v>40.0</v>
      </c>
    </row>
    <row r="36">
      <c r="A36" s="1" t="s">
        <v>1040</v>
      </c>
      <c r="B36" s="1">
        <v>60.0</v>
      </c>
    </row>
    <row r="37">
      <c r="A37" s="1" t="s">
        <v>1041</v>
      </c>
      <c r="B37" s="1">
        <v>199.0</v>
      </c>
    </row>
    <row r="38">
      <c r="A38" s="1" t="s">
        <v>1043</v>
      </c>
      <c r="B38" s="1">
        <v>140.0</v>
      </c>
    </row>
    <row r="39">
      <c r="A39" s="1" t="s">
        <v>1044</v>
      </c>
      <c r="B39" s="1">
        <v>189.0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20.75"/>
    <col customWidth="1" min="4" max="4" width="26.75"/>
    <col customWidth="1" min="5" max="5" width="37.0"/>
  </cols>
  <sheetData>
    <row r="1">
      <c r="A1" s="1" t="s">
        <v>983</v>
      </c>
      <c r="B1" s="1">
        <v>130.0</v>
      </c>
    </row>
    <row r="2">
      <c r="A2" s="1" t="s">
        <v>984</v>
      </c>
      <c r="B2" s="1">
        <v>160.0</v>
      </c>
    </row>
    <row r="3">
      <c r="A3" s="1" t="s">
        <v>985</v>
      </c>
      <c r="B3" s="1">
        <v>80.0</v>
      </c>
    </row>
    <row r="4">
      <c r="A4" s="1" t="s">
        <v>986</v>
      </c>
      <c r="B4" s="1">
        <v>340.0</v>
      </c>
    </row>
    <row r="5">
      <c r="A5" s="1" t="s">
        <v>987</v>
      </c>
      <c r="B5" s="1">
        <v>30.0</v>
      </c>
    </row>
    <row r="6">
      <c r="A6" s="1" t="s">
        <v>988</v>
      </c>
      <c r="B6" s="1">
        <v>30.0</v>
      </c>
    </row>
    <row r="7">
      <c r="A7" s="1" t="s">
        <v>990</v>
      </c>
      <c r="B7" s="1">
        <v>190.0</v>
      </c>
    </row>
    <row r="8">
      <c r="A8" s="1" t="s">
        <v>991</v>
      </c>
      <c r="B8" s="1">
        <v>30.0</v>
      </c>
    </row>
    <row r="9">
      <c r="A9" s="1" t="s">
        <v>993</v>
      </c>
      <c r="B9" s="1">
        <v>70.0</v>
      </c>
    </row>
    <row r="10">
      <c r="A10" s="1" t="s">
        <v>994</v>
      </c>
      <c r="B10" s="1">
        <v>70.0</v>
      </c>
    </row>
    <row r="12">
      <c r="A12" s="1" t="s">
        <v>995</v>
      </c>
      <c r="B12" s="1">
        <v>130.0</v>
      </c>
    </row>
    <row r="13">
      <c r="A13" s="1" t="s">
        <v>997</v>
      </c>
      <c r="B13" s="1">
        <v>80.0</v>
      </c>
    </row>
    <row r="14">
      <c r="A14" s="1" t="s">
        <v>998</v>
      </c>
      <c r="B14" s="1">
        <v>110.0</v>
      </c>
    </row>
    <row r="15">
      <c r="A15" s="1" t="s">
        <v>1000</v>
      </c>
      <c r="B15" s="1">
        <v>120.0</v>
      </c>
    </row>
    <row r="16">
      <c r="A16" s="1" t="s">
        <v>1003</v>
      </c>
      <c r="B16" s="1">
        <v>80.0</v>
      </c>
    </row>
    <row r="17">
      <c r="A17" s="1" t="s">
        <v>1005</v>
      </c>
      <c r="B17" s="1">
        <v>180.0</v>
      </c>
    </row>
    <row r="18">
      <c r="A18" s="1" t="s">
        <v>1006</v>
      </c>
      <c r="B18" s="1">
        <v>100.0</v>
      </c>
    </row>
    <row r="19">
      <c r="A19" s="1" t="s">
        <v>1008</v>
      </c>
      <c r="B19" s="1">
        <v>220.0</v>
      </c>
    </row>
    <row r="20">
      <c r="A20" s="1" t="s">
        <v>1009</v>
      </c>
      <c r="B20" s="1">
        <v>210.0</v>
      </c>
    </row>
    <row r="21">
      <c r="A21" s="1" t="s">
        <v>1011</v>
      </c>
      <c r="B21" s="1">
        <v>100.0</v>
      </c>
    </row>
    <row r="22">
      <c r="A22" s="1" t="s">
        <v>1012</v>
      </c>
      <c r="B22" s="1">
        <v>160.0</v>
      </c>
    </row>
    <row r="23">
      <c r="A23" s="1" t="s">
        <v>1014</v>
      </c>
      <c r="B23" s="1">
        <v>30.0</v>
      </c>
    </row>
    <row r="24">
      <c r="A24" s="1" t="s">
        <v>1015</v>
      </c>
      <c r="B24" s="1">
        <v>70.0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3" max="3" width="25.25"/>
  </cols>
  <sheetData>
    <row r="2">
      <c r="A2" s="1" t="s">
        <v>1042</v>
      </c>
      <c r="B2" s="1">
        <v>10.0</v>
      </c>
    </row>
    <row r="4">
      <c r="C4" s="1"/>
      <c r="D4" s="1"/>
    </row>
    <row r="9">
      <c r="A9" s="1" t="s">
        <v>1045</v>
      </c>
      <c r="B9" s="1">
        <v>20.0</v>
      </c>
    </row>
    <row r="13">
      <c r="A13" s="1" t="s">
        <v>1046</v>
      </c>
      <c r="B13" s="1">
        <v>80.0</v>
      </c>
    </row>
    <row r="16">
      <c r="A16" s="1" t="s">
        <v>1047</v>
      </c>
      <c r="B16" s="1">
        <v>70.0</v>
      </c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</cols>
  <sheetData>
    <row r="16">
      <c r="A16" s="1" t="s">
        <v>1048</v>
      </c>
      <c r="B16" s="1">
        <v>20.0</v>
      </c>
    </row>
    <row r="17">
      <c r="A17" s="1" t="s">
        <v>1049</v>
      </c>
      <c r="B17" s="1">
        <v>20.0</v>
      </c>
    </row>
    <row r="19">
      <c r="A19" s="1" t="s">
        <v>1050</v>
      </c>
      <c r="B19" s="1">
        <v>70.0</v>
      </c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3" max="3" width="18.13"/>
    <col customWidth="1" min="5" max="5" width="28.63"/>
  </cols>
  <sheetData>
    <row r="4">
      <c r="B4" s="1"/>
    </row>
    <row r="7">
      <c r="A7" s="1" t="s">
        <v>1051</v>
      </c>
      <c r="B7" s="1">
        <v>20.0</v>
      </c>
    </row>
    <row r="8">
      <c r="A8" s="1" t="s">
        <v>1052</v>
      </c>
      <c r="B8" s="1">
        <v>10.0</v>
      </c>
    </row>
    <row r="10">
      <c r="A10" s="1" t="s">
        <v>1053</v>
      </c>
      <c r="B10" s="1">
        <v>70.0</v>
      </c>
    </row>
    <row r="11">
      <c r="A11" s="1" t="s">
        <v>1054</v>
      </c>
      <c r="B11" s="1">
        <v>80.0</v>
      </c>
    </row>
    <row r="12">
      <c r="A12" s="1" t="s">
        <v>1055</v>
      </c>
      <c r="B12" s="1">
        <v>30.0</v>
      </c>
    </row>
    <row r="18">
      <c r="A18" s="1" t="s">
        <v>1056</v>
      </c>
      <c r="B18" s="1">
        <v>80.0</v>
      </c>
    </row>
    <row r="19">
      <c r="A19" s="1" t="s">
        <v>1057</v>
      </c>
      <c r="B19" s="1">
        <v>80.0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</cols>
  <sheetData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3" max="3" width="16.63"/>
  </cols>
  <sheetData>
    <row r="4">
      <c r="A4" s="1" t="s">
        <v>1058</v>
      </c>
      <c r="B4" s="1">
        <v>306.0</v>
      </c>
      <c r="C4" s="1" t="s">
        <v>1060</v>
      </c>
    </row>
    <row r="5">
      <c r="A5" s="1" t="s">
        <v>1061</v>
      </c>
      <c r="B5" s="1">
        <v>196.0</v>
      </c>
      <c r="C5" s="1" t="s">
        <v>1060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6.13"/>
    <col customWidth="1" min="4" max="4" width="24.88"/>
    <col customWidth="1" min="7" max="7" width="21.0"/>
  </cols>
  <sheetData>
    <row r="2">
      <c r="A2" s="1" t="s">
        <v>1059</v>
      </c>
      <c r="B2" s="1">
        <v>212.0</v>
      </c>
      <c r="C2" s="1" t="s">
        <v>1062</v>
      </c>
    </row>
    <row r="3">
      <c r="A3" s="1" t="s">
        <v>1063</v>
      </c>
      <c r="B3" s="1">
        <v>74.0</v>
      </c>
      <c r="C3" s="1" t="s">
        <v>1062</v>
      </c>
    </row>
    <row r="4">
      <c r="A4" s="1" t="s">
        <v>1064</v>
      </c>
      <c r="B4" s="1">
        <v>215.0</v>
      </c>
      <c r="C4" s="1" t="s">
        <v>1062</v>
      </c>
    </row>
    <row r="5">
      <c r="A5" s="1" t="s">
        <v>1065</v>
      </c>
      <c r="B5" s="1">
        <v>15.0</v>
      </c>
      <c r="C5" s="1"/>
    </row>
    <row r="6">
      <c r="A6" s="1" t="s">
        <v>1066</v>
      </c>
      <c r="B6" s="1">
        <v>13.0</v>
      </c>
      <c r="C6" s="1"/>
    </row>
    <row r="7">
      <c r="A7" s="1" t="s">
        <v>1067</v>
      </c>
      <c r="B7" s="1">
        <v>59.0</v>
      </c>
      <c r="C7" s="1"/>
    </row>
    <row r="8">
      <c r="A8" s="1" t="s">
        <v>1068</v>
      </c>
      <c r="B8" s="1">
        <v>50.0</v>
      </c>
      <c r="C8" s="1"/>
    </row>
    <row r="10">
      <c r="A10" s="1" t="s">
        <v>1069</v>
      </c>
      <c r="B10" s="1">
        <v>35.0</v>
      </c>
    </row>
    <row r="11">
      <c r="A11" s="1" t="s">
        <v>1070</v>
      </c>
      <c r="B11" s="1">
        <v>97.0</v>
      </c>
    </row>
    <row r="12">
      <c r="E12" s="1"/>
    </row>
    <row r="13">
      <c r="A13" s="1" t="s">
        <v>1071</v>
      </c>
      <c r="B13" s="1">
        <v>65.0</v>
      </c>
      <c r="E13" s="1"/>
    </row>
    <row r="14">
      <c r="E14" s="1"/>
    </row>
    <row r="15">
      <c r="A15" s="1" t="s">
        <v>1072</v>
      </c>
      <c r="B15" s="1">
        <v>55.0</v>
      </c>
      <c r="C15" s="1" t="s">
        <v>1073</v>
      </c>
      <c r="E15" s="1"/>
    </row>
    <row r="16">
      <c r="A16" s="1" t="s">
        <v>1074</v>
      </c>
      <c r="B16" s="1">
        <v>45.0</v>
      </c>
      <c r="C16" s="1" t="s">
        <v>1073</v>
      </c>
      <c r="E16" s="1"/>
    </row>
    <row r="17">
      <c r="E17" s="1"/>
    </row>
    <row r="18">
      <c r="E18" s="1"/>
    </row>
    <row r="19">
      <c r="E19" s="1"/>
    </row>
    <row r="20">
      <c r="E20" s="1"/>
    </row>
    <row r="21">
      <c r="A21" s="1" t="s">
        <v>1075</v>
      </c>
      <c r="B21" s="1">
        <v>340.0</v>
      </c>
      <c r="C21" s="1" t="s">
        <v>1076</v>
      </c>
      <c r="E21" s="1"/>
    </row>
    <row r="22">
      <c r="E22" s="1"/>
    </row>
    <row r="23">
      <c r="E23" s="1"/>
    </row>
    <row r="24">
      <c r="E24" s="1"/>
    </row>
    <row r="25">
      <c r="E25" s="1"/>
    </row>
    <row r="26">
      <c r="E26" s="1"/>
    </row>
    <row r="27">
      <c r="E27" s="1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3" max="3" width="13.63"/>
    <col customWidth="1" min="4" max="4" width="24.13"/>
  </cols>
  <sheetData>
    <row r="3">
      <c r="A3" s="1" t="s">
        <v>1077</v>
      </c>
      <c r="B3" s="1">
        <v>165.0</v>
      </c>
      <c r="C3" s="1" t="s">
        <v>1078</v>
      </c>
    </row>
    <row r="4">
      <c r="A4" s="1" t="s">
        <v>1079</v>
      </c>
      <c r="B4" s="1">
        <v>74.0</v>
      </c>
      <c r="C4" s="1" t="s">
        <v>1078</v>
      </c>
    </row>
    <row r="6">
      <c r="A6" s="1" t="s">
        <v>1080</v>
      </c>
      <c r="B6" s="1">
        <v>61.0</v>
      </c>
      <c r="C6" s="1" t="s">
        <v>1081</v>
      </c>
    </row>
    <row r="7">
      <c r="A7" s="1" t="s">
        <v>1082</v>
      </c>
      <c r="B7" s="1">
        <v>220.0</v>
      </c>
    </row>
    <row r="8">
      <c r="A8" s="1" t="s">
        <v>1083</v>
      </c>
      <c r="B8" s="1">
        <v>70.0</v>
      </c>
    </row>
    <row r="9">
      <c r="A9" s="1" t="s">
        <v>1084</v>
      </c>
      <c r="B9" s="1">
        <v>170.0</v>
      </c>
    </row>
    <row r="11">
      <c r="A11" s="1" t="s">
        <v>1085</v>
      </c>
      <c r="B11" s="1">
        <v>80.0</v>
      </c>
      <c r="C11" s="1" t="s">
        <v>1078</v>
      </c>
    </row>
    <row r="12">
      <c r="A12" s="1" t="s">
        <v>1086</v>
      </c>
      <c r="B12" s="1">
        <v>30.0</v>
      </c>
      <c r="C12" s="1" t="s">
        <v>1078</v>
      </c>
    </row>
    <row r="13">
      <c r="A13" s="1" t="s">
        <v>1087</v>
      </c>
      <c r="B13" s="1">
        <v>76.0</v>
      </c>
      <c r="C13" s="1" t="s">
        <v>1078</v>
      </c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3" max="5" width="16.13"/>
    <col customWidth="1" min="6" max="6" width="23.38"/>
    <col customWidth="1" min="7" max="7" width="22.25"/>
  </cols>
  <sheetData>
    <row r="1">
      <c r="A1" s="1" t="s">
        <v>1088</v>
      </c>
      <c r="B1" s="1">
        <v>21.0</v>
      </c>
    </row>
    <row r="2">
      <c r="A2" s="1" t="s">
        <v>1089</v>
      </c>
      <c r="B2" s="1">
        <v>37.0</v>
      </c>
    </row>
    <row r="8">
      <c r="A8" s="1" t="s">
        <v>1090</v>
      </c>
      <c r="B8" s="1">
        <v>75.0</v>
      </c>
      <c r="C8" s="1" t="s">
        <v>1078</v>
      </c>
    </row>
    <row r="10">
      <c r="A10" s="1"/>
      <c r="B10" s="1"/>
      <c r="C10" s="1"/>
    </row>
    <row r="11">
      <c r="A11" s="1" t="s">
        <v>1091</v>
      </c>
      <c r="B11" s="1">
        <v>140.0</v>
      </c>
      <c r="C11" s="1" t="s">
        <v>1081</v>
      </c>
    </row>
    <row r="12">
      <c r="A12" s="1" t="s">
        <v>1092</v>
      </c>
      <c r="B12" s="1">
        <v>120.0</v>
      </c>
      <c r="C12" s="1" t="s">
        <v>1081</v>
      </c>
    </row>
    <row r="13">
      <c r="A13" s="1" t="s">
        <v>1093</v>
      </c>
      <c r="B13" s="1">
        <v>74.0</v>
      </c>
      <c r="C13" s="1" t="s">
        <v>1081</v>
      </c>
    </row>
    <row r="16">
      <c r="A16" s="1" t="s">
        <v>1094</v>
      </c>
      <c r="B16" s="1">
        <v>160.0</v>
      </c>
      <c r="C16" s="1" t="s">
        <v>1078</v>
      </c>
    </row>
    <row r="17">
      <c r="A17" s="1" t="s">
        <v>1095</v>
      </c>
      <c r="B17" s="1">
        <v>170.0</v>
      </c>
    </row>
    <row r="18">
      <c r="A18" s="1" t="s">
        <v>1096</v>
      </c>
      <c r="B18" s="1">
        <v>50.0</v>
      </c>
    </row>
    <row r="19">
      <c r="A19" s="1" t="s">
        <v>1097</v>
      </c>
      <c r="B19" s="1">
        <v>60.0</v>
      </c>
    </row>
    <row r="21">
      <c r="A21" s="1" t="s">
        <v>1098</v>
      </c>
      <c r="B21" s="1">
        <v>28.0</v>
      </c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3" max="3" width="25.13"/>
  </cols>
  <sheetData>
    <row r="2">
      <c r="A2" s="1" t="s">
        <v>1099</v>
      </c>
      <c r="B2" s="1">
        <v>20.0</v>
      </c>
    </row>
    <row r="3">
      <c r="A3" s="1" t="s">
        <v>1100</v>
      </c>
      <c r="B3" s="1">
        <v>20.0</v>
      </c>
    </row>
    <row r="4">
      <c r="A4" s="1" t="s">
        <v>1101</v>
      </c>
      <c r="B4" s="1">
        <v>10.0</v>
      </c>
    </row>
    <row r="6">
      <c r="A6" s="1" t="s">
        <v>1102</v>
      </c>
      <c r="B6" s="1">
        <v>20.0</v>
      </c>
    </row>
    <row r="7">
      <c r="A7" s="1" t="s">
        <v>1103</v>
      </c>
      <c r="B7" s="1">
        <v>20.0</v>
      </c>
    </row>
    <row r="8">
      <c r="A8" s="1" t="s">
        <v>1104</v>
      </c>
      <c r="B8" s="1">
        <v>20.0</v>
      </c>
    </row>
    <row r="9">
      <c r="A9" s="1" t="s">
        <v>1105</v>
      </c>
      <c r="B9" s="1">
        <v>20.0</v>
      </c>
    </row>
    <row r="10">
      <c r="A10" s="1" t="s">
        <v>1106</v>
      </c>
      <c r="B10" s="1">
        <v>20.0</v>
      </c>
    </row>
    <row r="11">
      <c r="A11" s="1" t="s">
        <v>1107</v>
      </c>
      <c r="B11" s="1">
        <v>30.0</v>
      </c>
    </row>
    <row r="12">
      <c r="A12" s="1" t="s">
        <v>1108</v>
      </c>
      <c r="B12" s="1">
        <v>20.0</v>
      </c>
    </row>
    <row r="13">
      <c r="A13" s="1" t="s">
        <v>1109</v>
      </c>
      <c r="B13" s="1">
        <v>40.0</v>
      </c>
    </row>
    <row r="15">
      <c r="A15" s="1" t="s">
        <v>1110</v>
      </c>
      <c r="B15" s="1">
        <v>10.0</v>
      </c>
    </row>
    <row r="16">
      <c r="A16" s="1" t="s">
        <v>1111</v>
      </c>
      <c r="B16" s="1">
        <v>10.0</v>
      </c>
    </row>
    <row r="17">
      <c r="A17" s="1" t="s">
        <v>1112</v>
      </c>
      <c r="B17" s="1">
        <v>20.0</v>
      </c>
    </row>
    <row r="18">
      <c r="A18" s="1" t="s">
        <v>1113</v>
      </c>
      <c r="B18" s="1">
        <v>30.0</v>
      </c>
    </row>
    <row r="19">
      <c r="A19" s="1" t="s">
        <v>1114</v>
      </c>
      <c r="B19" s="1">
        <v>10.0</v>
      </c>
    </row>
    <row r="20">
      <c r="A20" s="1" t="s">
        <v>1115</v>
      </c>
      <c r="B20" s="1">
        <v>10.0</v>
      </c>
    </row>
    <row r="21">
      <c r="A21" s="1" t="s">
        <v>1116</v>
      </c>
      <c r="B21" s="1">
        <v>30.0</v>
      </c>
    </row>
    <row r="22">
      <c r="A22" s="1" t="s">
        <v>1117</v>
      </c>
      <c r="B22" s="1">
        <v>20.0</v>
      </c>
    </row>
    <row r="23">
      <c r="A23" s="1" t="s">
        <v>1118</v>
      </c>
      <c r="B23" s="1">
        <v>20.0</v>
      </c>
    </row>
    <row r="24">
      <c r="A24" s="1" t="s">
        <v>1119</v>
      </c>
      <c r="B24" s="1">
        <v>30.0</v>
      </c>
    </row>
    <row r="25">
      <c r="A25" s="1" t="s">
        <v>1120</v>
      </c>
      <c r="B25" s="1">
        <v>30.0</v>
      </c>
    </row>
    <row r="26">
      <c r="A26" s="1" t="s">
        <v>1121</v>
      </c>
      <c r="B26" s="1">
        <v>10.0</v>
      </c>
    </row>
    <row r="27">
      <c r="A27" s="1" t="s">
        <v>1122</v>
      </c>
      <c r="B27" s="1">
        <v>20.0</v>
      </c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6.0"/>
    <col customWidth="1" min="3" max="3" width="25.13"/>
    <col customWidth="1" min="5" max="5" width="26.75"/>
    <col customWidth="1" min="6" max="6" width="24.25"/>
  </cols>
  <sheetData>
    <row r="1">
      <c r="A1" s="1" t="s">
        <v>1123</v>
      </c>
      <c r="B1" s="81">
        <v>140.0</v>
      </c>
    </row>
    <row r="2">
      <c r="A2" s="1" t="s">
        <v>1124</v>
      </c>
      <c r="B2" s="81">
        <v>30.0</v>
      </c>
    </row>
    <row r="3">
      <c r="A3" s="1" t="s">
        <v>1125</v>
      </c>
      <c r="B3" s="81">
        <v>80.0</v>
      </c>
    </row>
    <row r="4">
      <c r="A4" s="1" t="s">
        <v>1126</v>
      </c>
      <c r="B4" s="1">
        <v>70.0</v>
      </c>
    </row>
    <row r="5">
      <c r="A5" s="1" t="s">
        <v>1127</v>
      </c>
      <c r="B5" s="1">
        <v>20.0</v>
      </c>
    </row>
    <row r="6">
      <c r="A6" s="1" t="s">
        <v>1128</v>
      </c>
      <c r="B6" s="1">
        <v>40.0</v>
      </c>
    </row>
    <row r="7">
      <c r="A7" s="1" t="s">
        <v>1129</v>
      </c>
      <c r="B7" s="1">
        <v>40.0</v>
      </c>
    </row>
    <row r="8">
      <c r="A8" s="1" t="s">
        <v>1130</v>
      </c>
      <c r="B8" s="1">
        <v>60.0</v>
      </c>
    </row>
    <row r="9">
      <c r="A9" s="1" t="s">
        <v>1131</v>
      </c>
      <c r="B9" s="1">
        <v>140.0</v>
      </c>
    </row>
    <row r="11">
      <c r="A11" s="1" t="s">
        <v>1132</v>
      </c>
      <c r="B11" s="1">
        <v>80.0</v>
      </c>
    </row>
    <row r="12">
      <c r="A12" s="1" t="s">
        <v>1133</v>
      </c>
      <c r="B12" s="1">
        <v>160.0</v>
      </c>
    </row>
    <row r="13">
      <c r="A13" s="1" t="s">
        <v>1134</v>
      </c>
      <c r="B13" s="1">
        <v>10.0</v>
      </c>
    </row>
    <row r="14">
      <c r="A14" s="1" t="s">
        <v>1135</v>
      </c>
      <c r="B14" s="1">
        <v>10.0</v>
      </c>
    </row>
    <row r="15">
      <c r="A15" s="1" t="s">
        <v>1136</v>
      </c>
      <c r="B15" s="1">
        <v>40.0</v>
      </c>
    </row>
    <row r="16">
      <c r="A16" s="1" t="s">
        <v>1137</v>
      </c>
      <c r="B16" s="1">
        <v>80.0</v>
      </c>
    </row>
    <row r="18">
      <c r="A18" s="1" t="s">
        <v>1138</v>
      </c>
      <c r="B18" s="1">
        <v>10.0</v>
      </c>
    </row>
    <row r="19">
      <c r="A19" s="1" t="s">
        <v>1139</v>
      </c>
      <c r="B19" s="1">
        <v>90.0</v>
      </c>
    </row>
    <row r="20">
      <c r="A20" s="1" t="s">
        <v>1140</v>
      </c>
      <c r="B20" s="1">
        <v>30.0</v>
      </c>
      <c r="E20" s="54"/>
      <c r="F20" s="54"/>
      <c r="G20" s="81"/>
      <c r="H20" s="81"/>
      <c r="I20" s="81"/>
    </row>
    <row r="21">
      <c r="E21" s="54"/>
      <c r="F21" s="81"/>
      <c r="G21" s="54"/>
      <c r="H21" s="54"/>
      <c r="I21" s="54"/>
    </row>
    <row r="22">
      <c r="A22" s="1" t="s">
        <v>1141</v>
      </c>
      <c r="B22" s="1">
        <v>90.0</v>
      </c>
    </row>
    <row r="23">
      <c r="A23" s="1" t="s">
        <v>1142</v>
      </c>
      <c r="B23" s="1">
        <v>60.0</v>
      </c>
    </row>
    <row r="25">
      <c r="A25" s="1" t="s">
        <v>1143</v>
      </c>
      <c r="B25" s="1">
        <v>20.0</v>
      </c>
    </row>
    <row r="26">
      <c r="A26" s="1" t="s">
        <v>1144</v>
      </c>
      <c r="B26" s="1">
        <v>160.0</v>
      </c>
    </row>
    <row r="27">
      <c r="A27" s="1" t="s">
        <v>1145</v>
      </c>
      <c r="B27" s="1">
        <v>60.0</v>
      </c>
    </row>
    <row r="28">
      <c r="A28" s="1" t="s">
        <v>1146</v>
      </c>
      <c r="B28" s="1">
        <v>90.0</v>
      </c>
    </row>
    <row r="29">
      <c r="A29" s="1" t="s">
        <v>1147</v>
      </c>
      <c r="B29" s="1">
        <v>40.0</v>
      </c>
    </row>
    <row r="30">
      <c r="A30" s="1" t="s">
        <v>1148</v>
      </c>
      <c r="B30" s="1">
        <v>280.0</v>
      </c>
      <c r="E30" s="79"/>
      <c r="F30" s="79"/>
      <c r="G30" s="80"/>
      <c r="H30" s="80"/>
      <c r="I30" s="80"/>
    </row>
    <row r="31">
      <c r="A31" s="1" t="s">
        <v>1149</v>
      </c>
      <c r="B31" s="1">
        <v>80.0</v>
      </c>
    </row>
    <row r="32">
      <c r="A32" s="1" t="s">
        <v>1150</v>
      </c>
      <c r="B32" s="1">
        <v>140.0</v>
      </c>
    </row>
    <row r="33">
      <c r="A33" s="1" t="s">
        <v>1151</v>
      </c>
      <c r="B33" s="1">
        <v>170.0</v>
      </c>
    </row>
    <row r="35">
      <c r="A35" s="1" t="s">
        <v>1152</v>
      </c>
      <c r="B35" s="1">
        <v>15.0</v>
      </c>
    </row>
    <row r="36">
      <c r="A36" s="1" t="s">
        <v>1153</v>
      </c>
      <c r="B36" s="1">
        <v>50.0</v>
      </c>
    </row>
    <row r="37">
      <c r="A37" s="1" t="s">
        <v>1154</v>
      </c>
      <c r="B37" s="1">
        <v>50.0</v>
      </c>
    </row>
    <row r="38">
      <c r="B38" s="54"/>
    </row>
    <row r="39">
      <c r="A39" s="1" t="s">
        <v>1155</v>
      </c>
      <c r="B39" s="1">
        <v>30.0</v>
      </c>
    </row>
    <row r="40">
      <c r="A40" s="1" t="s">
        <v>1156</v>
      </c>
      <c r="B40" s="1">
        <v>10.0</v>
      </c>
    </row>
    <row r="41">
      <c r="A41" s="1" t="s">
        <v>1157</v>
      </c>
      <c r="B41" s="1">
        <v>40.0</v>
      </c>
    </row>
    <row r="42">
      <c r="A42" s="1" t="s">
        <v>1158</v>
      </c>
      <c r="B42" s="1">
        <v>68.0</v>
      </c>
    </row>
    <row r="43">
      <c r="A43" s="1" t="s">
        <v>1159</v>
      </c>
      <c r="B43" s="1">
        <v>30.0</v>
      </c>
    </row>
    <row r="44">
      <c r="A44" s="1" t="s">
        <v>1160</v>
      </c>
      <c r="B44" s="1">
        <v>40.0</v>
      </c>
    </row>
    <row r="45">
      <c r="A45" s="1" t="s">
        <v>1161</v>
      </c>
      <c r="B45" s="1">
        <v>10.0</v>
      </c>
    </row>
    <row r="46">
      <c r="B46" s="81"/>
    </row>
    <row r="47">
      <c r="A47" s="1" t="s">
        <v>1162</v>
      </c>
      <c r="B47" s="1">
        <v>50.0</v>
      </c>
    </row>
    <row r="49">
      <c r="A49" s="1" t="s">
        <v>1163</v>
      </c>
      <c r="B49" s="1">
        <v>20.0</v>
      </c>
      <c r="E49" s="54"/>
      <c r="F49" s="81"/>
      <c r="G49" s="79"/>
      <c r="H49" s="79"/>
      <c r="I49" s="79"/>
    </row>
    <row r="50">
      <c r="B50" s="54"/>
      <c r="E50" s="54"/>
      <c r="F50" s="80"/>
      <c r="G50" s="54"/>
      <c r="H50" s="79"/>
      <c r="I50" s="79"/>
    </row>
    <row r="51">
      <c r="A51" s="1" t="s">
        <v>1164</v>
      </c>
      <c r="B51" s="1">
        <v>60.0</v>
      </c>
    </row>
    <row r="52">
      <c r="A52" s="1" t="s">
        <v>1165</v>
      </c>
      <c r="B52" s="1">
        <v>60.0</v>
      </c>
    </row>
    <row r="53">
      <c r="A53" s="1" t="s">
        <v>1166</v>
      </c>
      <c r="B53" s="1">
        <v>70.0</v>
      </c>
    </row>
    <row r="54">
      <c r="A54" s="1" t="s">
        <v>1167</v>
      </c>
      <c r="B54" s="1">
        <v>20.0</v>
      </c>
    </row>
    <row r="55">
      <c r="A55" s="1" t="s">
        <v>1168</v>
      </c>
      <c r="B55" s="1">
        <v>80.0</v>
      </c>
    </row>
    <row r="56">
      <c r="A56" s="1" t="s">
        <v>1169</v>
      </c>
      <c r="B56" s="1">
        <v>40.0</v>
      </c>
    </row>
    <row r="57">
      <c r="A57" s="1" t="s">
        <v>1170</v>
      </c>
      <c r="B57" s="1">
        <v>40.0</v>
      </c>
    </row>
    <row r="58">
      <c r="A58" s="1" t="s">
        <v>1171</v>
      </c>
      <c r="B58" s="1">
        <v>50.0</v>
      </c>
    </row>
    <row r="59">
      <c r="A59" s="1" t="s">
        <v>1172</v>
      </c>
      <c r="B59" s="1">
        <v>40.0</v>
      </c>
    </row>
    <row r="60">
      <c r="A60" s="1" t="s">
        <v>1173</v>
      </c>
      <c r="B60" s="1">
        <v>40.0</v>
      </c>
    </row>
    <row r="61">
      <c r="A61" s="1" t="s">
        <v>1174</v>
      </c>
      <c r="B61" s="1">
        <v>40.0</v>
      </c>
    </row>
    <row r="63">
      <c r="A63" s="1"/>
      <c r="B63" s="1"/>
      <c r="G63" s="54"/>
      <c r="H63" s="54"/>
      <c r="I63" s="54"/>
    </row>
    <row r="64">
      <c r="A64" s="1" t="s">
        <v>1178</v>
      </c>
      <c r="B64" s="1">
        <v>50.0</v>
      </c>
      <c r="G64" s="54"/>
      <c r="H64" s="54"/>
      <c r="I64" s="54"/>
    </row>
    <row r="65">
      <c r="A65" s="1" t="s">
        <v>1180</v>
      </c>
      <c r="B65" s="1">
        <v>80.0</v>
      </c>
    </row>
    <row r="66">
      <c r="A66" s="1" t="s">
        <v>1183</v>
      </c>
      <c r="B66" s="1">
        <v>60.0</v>
      </c>
    </row>
    <row r="67">
      <c r="A67" s="1" t="s">
        <v>1186</v>
      </c>
      <c r="B67" s="1">
        <v>39.0</v>
      </c>
    </row>
    <row r="68">
      <c r="A68" s="1" t="s">
        <v>1189</v>
      </c>
      <c r="B68" s="1">
        <v>20.0</v>
      </c>
    </row>
    <row r="69">
      <c r="A69" s="1" t="s">
        <v>1191</v>
      </c>
      <c r="B69" s="1">
        <v>40.0</v>
      </c>
    </row>
    <row r="71">
      <c r="B71" s="81"/>
    </row>
    <row r="72">
      <c r="B72" s="81"/>
    </row>
    <row r="73">
      <c r="B73" s="81"/>
    </row>
    <row r="74">
      <c r="A74" s="1" t="s">
        <v>1197</v>
      </c>
      <c r="B74" s="54">
        <v>140.0</v>
      </c>
    </row>
    <row r="75">
      <c r="A75" s="1" t="s">
        <v>1199</v>
      </c>
      <c r="B75" s="1">
        <v>20.0</v>
      </c>
    </row>
    <row r="76">
      <c r="A76" s="1" t="s">
        <v>1201</v>
      </c>
      <c r="B76" s="1">
        <v>50.0</v>
      </c>
    </row>
    <row r="77">
      <c r="A77" s="1" t="s">
        <v>1202</v>
      </c>
      <c r="B77" s="1">
        <v>60.0</v>
      </c>
    </row>
    <row r="78">
      <c r="E78" s="79"/>
      <c r="F78" s="80"/>
      <c r="G78" s="79"/>
      <c r="H78" s="79"/>
      <c r="I78" s="79"/>
    </row>
    <row r="79">
      <c r="E79" s="79"/>
      <c r="F79" s="80"/>
      <c r="G79" s="79"/>
      <c r="H79" s="79"/>
      <c r="I79" s="79"/>
    </row>
    <row r="80">
      <c r="E80" s="79"/>
      <c r="F80" s="80"/>
      <c r="G80" s="79"/>
      <c r="H80" s="79"/>
      <c r="I80" s="79"/>
    </row>
    <row r="81">
      <c r="E81" s="79"/>
      <c r="F81" s="79"/>
      <c r="G81" s="80"/>
      <c r="H81" s="80"/>
      <c r="I81" s="80"/>
    </row>
    <row r="82">
      <c r="A82" s="1" t="s">
        <v>1208</v>
      </c>
      <c r="B82" s="1">
        <v>10.0</v>
      </c>
    </row>
    <row r="83">
      <c r="A83" s="1" t="s">
        <v>1210</v>
      </c>
      <c r="B83" s="1">
        <v>5.0</v>
      </c>
    </row>
    <row r="85">
      <c r="A85" s="1" t="s">
        <v>1212</v>
      </c>
      <c r="B85" s="1">
        <v>20.0</v>
      </c>
    </row>
    <row r="87">
      <c r="A87" s="1" t="s">
        <v>1214</v>
      </c>
      <c r="B87" s="1">
        <v>19.0</v>
      </c>
      <c r="G87" s="54"/>
      <c r="H87" s="54"/>
      <c r="I87" s="54"/>
    </row>
    <row r="88">
      <c r="A88" s="1" t="s">
        <v>1216</v>
      </c>
      <c r="B88" s="1">
        <v>20.0</v>
      </c>
      <c r="G88" s="54"/>
      <c r="H88" s="79"/>
      <c r="I88" s="79"/>
    </row>
    <row r="89">
      <c r="A89" s="1" t="s">
        <v>1218</v>
      </c>
      <c r="B89" s="1">
        <v>20.0</v>
      </c>
      <c r="G89" s="81"/>
      <c r="H89" s="81"/>
      <c r="I89" s="80"/>
    </row>
    <row r="90">
      <c r="A90" s="1" t="s">
        <v>1220</v>
      </c>
      <c r="B90" s="1">
        <v>10.0</v>
      </c>
    </row>
    <row r="92">
      <c r="A92" s="1"/>
      <c r="B92" s="1"/>
    </row>
    <row r="93">
      <c r="A93" s="1" t="s">
        <v>1221</v>
      </c>
      <c r="B93" s="1">
        <v>50.0</v>
      </c>
    </row>
    <row r="95">
      <c r="A95" s="1" t="s">
        <v>1222</v>
      </c>
      <c r="B95" s="1">
        <v>60.0</v>
      </c>
    </row>
    <row r="96">
      <c r="A96" s="1" t="s">
        <v>1223</v>
      </c>
      <c r="B96" s="1">
        <v>30.0</v>
      </c>
    </row>
    <row r="97">
      <c r="A97" s="1" t="s">
        <v>1224</v>
      </c>
      <c r="B97" s="1">
        <v>60.0</v>
      </c>
    </row>
    <row r="99">
      <c r="A99" s="1" t="s">
        <v>1225</v>
      </c>
      <c r="B99" s="1">
        <v>60.0</v>
      </c>
    </row>
    <row r="100">
      <c r="A100" s="1" t="s">
        <v>1226</v>
      </c>
      <c r="B100" s="1">
        <v>30.0</v>
      </c>
    </row>
    <row r="101">
      <c r="A101" s="1" t="s">
        <v>1227</v>
      </c>
      <c r="B101" s="1">
        <v>30.0</v>
      </c>
    </row>
    <row r="102">
      <c r="A102" s="1" t="s">
        <v>1228</v>
      </c>
      <c r="B102" s="1">
        <v>50.0</v>
      </c>
    </row>
    <row r="103">
      <c r="A103" s="1" t="s">
        <v>1229</v>
      </c>
      <c r="B103" s="1">
        <v>70.0</v>
      </c>
    </row>
    <row r="104">
      <c r="A104" s="1" t="s">
        <v>1230</v>
      </c>
      <c r="B104" s="1">
        <v>50.0</v>
      </c>
    </row>
    <row r="105">
      <c r="A105" s="1" t="s">
        <v>1231</v>
      </c>
      <c r="B105" s="1">
        <v>30.0</v>
      </c>
    </row>
    <row r="106">
      <c r="A106" s="1" t="s">
        <v>1232</v>
      </c>
      <c r="B106" s="1">
        <v>10.0</v>
      </c>
    </row>
    <row r="108">
      <c r="A108" s="1" t="s">
        <v>1233</v>
      </c>
      <c r="B108" s="1">
        <v>70.0</v>
      </c>
    </row>
    <row r="109">
      <c r="A109" s="1" t="s">
        <v>1234</v>
      </c>
      <c r="B109" s="1">
        <v>110.0</v>
      </c>
    </row>
    <row r="110">
      <c r="A110" s="1" t="s">
        <v>1235</v>
      </c>
      <c r="B110" s="1">
        <v>10.0</v>
      </c>
    </row>
    <row r="111">
      <c r="A111" s="1" t="s">
        <v>1236</v>
      </c>
      <c r="B111" s="1">
        <v>70.0</v>
      </c>
      <c r="G111" s="80"/>
      <c r="H111" s="80"/>
      <c r="I111" s="80"/>
    </row>
    <row r="112">
      <c r="A112" s="1" t="s">
        <v>1237</v>
      </c>
      <c r="B112" s="1">
        <v>40.0</v>
      </c>
    </row>
    <row r="114">
      <c r="A114" s="1" t="s">
        <v>1238</v>
      </c>
      <c r="B114" s="1">
        <v>20.0</v>
      </c>
      <c r="E114" s="54"/>
      <c r="F114" s="81"/>
      <c r="G114" s="54"/>
      <c r="H114" s="54"/>
      <c r="I114" s="54"/>
    </row>
    <row r="115">
      <c r="A115" s="1" t="s">
        <v>1239</v>
      </c>
      <c r="B115" s="1">
        <v>20.0</v>
      </c>
    </row>
    <row r="116">
      <c r="E116" s="54"/>
      <c r="F116" s="54"/>
      <c r="G116" s="81"/>
      <c r="H116" s="81"/>
      <c r="I116" s="81"/>
    </row>
    <row r="117">
      <c r="A117" s="1" t="s">
        <v>1240</v>
      </c>
      <c r="B117" s="1">
        <v>40.0</v>
      </c>
    </row>
    <row r="118">
      <c r="A118" s="1" t="s">
        <v>1241</v>
      </c>
      <c r="B118" s="1">
        <v>30.0</v>
      </c>
    </row>
    <row r="119">
      <c r="A119" s="1" t="s">
        <v>1242</v>
      </c>
      <c r="B119" s="1">
        <v>20.0</v>
      </c>
    </row>
    <row r="121">
      <c r="A121" s="1" t="s">
        <v>1243</v>
      </c>
      <c r="B121" s="1">
        <v>40.0</v>
      </c>
    </row>
    <row r="122">
      <c r="A122" s="1" t="s">
        <v>1244</v>
      </c>
      <c r="B122" s="1">
        <v>20.0</v>
      </c>
    </row>
    <row r="123">
      <c r="A123" s="1" t="s">
        <v>1245</v>
      </c>
      <c r="B123" s="1">
        <v>10.0</v>
      </c>
    </row>
    <row r="124">
      <c r="A124" s="1" t="s">
        <v>1245</v>
      </c>
      <c r="B124" s="1">
        <v>20.0</v>
      </c>
    </row>
    <row r="125">
      <c r="A125" s="1" t="s">
        <v>1246</v>
      </c>
      <c r="B125" s="1">
        <v>20.0</v>
      </c>
    </row>
    <row r="126">
      <c r="A126" s="1" t="s">
        <v>1247</v>
      </c>
      <c r="B126" s="1">
        <v>40.0</v>
      </c>
    </row>
    <row r="127">
      <c r="E127" s="79"/>
      <c r="F127" s="80"/>
      <c r="G127" s="79"/>
      <c r="H127" s="79"/>
      <c r="I127" s="79"/>
    </row>
    <row r="131">
      <c r="A131" s="1"/>
      <c r="B131" s="1"/>
      <c r="G131" s="54"/>
      <c r="H131" s="54"/>
      <c r="I131" s="54"/>
    </row>
    <row r="134">
      <c r="G134" s="54"/>
      <c r="H134" s="54"/>
      <c r="I134" s="54"/>
    </row>
    <row r="136">
      <c r="A136" s="1"/>
      <c r="B136" s="1"/>
    </row>
    <row r="137">
      <c r="G137" s="54"/>
      <c r="H137" s="54"/>
      <c r="I137" s="54"/>
    </row>
    <row r="138">
      <c r="G138" s="81"/>
      <c r="H138" s="80"/>
      <c r="I138" s="80"/>
    </row>
    <row r="139">
      <c r="G139" s="81"/>
      <c r="H139" s="81"/>
      <c r="I139" s="81"/>
    </row>
    <row r="143">
      <c r="E143" s="54"/>
      <c r="F143" s="54"/>
      <c r="G143" s="80"/>
      <c r="H143" s="80"/>
      <c r="I143" s="80"/>
    </row>
    <row r="144">
      <c r="E144" s="79"/>
      <c r="F144" s="80"/>
      <c r="G144" s="79"/>
      <c r="H144" s="79"/>
      <c r="I144" s="79"/>
    </row>
    <row r="146">
      <c r="E146" s="79"/>
      <c r="F146" s="79"/>
      <c r="G146" s="80"/>
      <c r="H146" s="80"/>
      <c r="I146" s="80"/>
    </row>
    <row r="149">
      <c r="A149" s="1"/>
      <c r="B149" s="1"/>
      <c r="E149" s="54"/>
      <c r="F149" s="54"/>
      <c r="G149" s="80"/>
      <c r="H149" s="80"/>
      <c r="I149" s="80"/>
    </row>
    <row r="150">
      <c r="E150" s="54"/>
      <c r="F150" s="80"/>
      <c r="G150" s="79"/>
      <c r="H150" s="54"/>
      <c r="I150" s="79"/>
    </row>
    <row r="151">
      <c r="A151" s="1"/>
      <c r="B151" s="1"/>
      <c r="E151" s="54"/>
      <c r="F151" s="81"/>
      <c r="G151" s="81"/>
      <c r="H151" s="80"/>
      <c r="I151" s="81"/>
    </row>
    <row r="152">
      <c r="E152" s="54"/>
      <c r="F152" s="81"/>
      <c r="G152" s="81"/>
      <c r="H152" s="80"/>
      <c r="I152" s="81"/>
    </row>
    <row r="153">
      <c r="E153" s="54"/>
      <c r="F153" s="81"/>
      <c r="G153" s="79"/>
      <c r="H153" s="79"/>
      <c r="I153" s="79"/>
    </row>
    <row r="154">
      <c r="E154" s="54"/>
      <c r="F154" s="79"/>
      <c r="G154" s="79"/>
      <c r="H154" s="54"/>
      <c r="I154" s="80"/>
    </row>
    <row r="155">
      <c r="E155" s="54"/>
      <c r="F155" s="80"/>
      <c r="G155" s="54"/>
      <c r="H155" s="54"/>
      <c r="I155" s="54"/>
    </row>
    <row r="156">
      <c r="E156" s="54"/>
      <c r="F156" s="79"/>
      <c r="G156" s="81"/>
      <c r="H156" s="81"/>
      <c r="I156" s="79"/>
    </row>
    <row r="157">
      <c r="E157" s="54"/>
      <c r="F157" s="79"/>
      <c r="G157" s="79"/>
      <c r="H157" s="81"/>
      <c r="I157" s="79"/>
    </row>
    <row r="158">
      <c r="E158" s="54"/>
      <c r="F158" s="81"/>
      <c r="G158" s="81"/>
      <c r="H158" s="81"/>
      <c r="I158" s="81"/>
    </row>
    <row r="159">
      <c r="E159" s="54"/>
      <c r="F159" s="81"/>
      <c r="G159" s="54"/>
      <c r="H159" s="54"/>
      <c r="I159" s="54"/>
    </row>
    <row r="160">
      <c r="E160" s="54"/>
      <c r="F160" s="54"/>
      <c r="G160" s="80"/>
      <c r="H160" s="80"/>
      <c r="I160" s="80"/>
    </row>
    <row r="161">
      <c r="E161" s="54"/>
      <c r="F161" s="81"/>
      <c r="G161" s="54"/>
      <c r="H161" s="54"/>
      <c r="I161" s="54"/>
    </row>
    <row r="162">
      <c r="E162" s="54"/>
      <c r="F162" s="81"/>
      <c r="G162" s="54"/>
      <c r="H162" s="54"/>
      <c r="I162" s="54"/>
    </row>
    <row r="163">
      <c r="E163" s="54"/>
      <c r="F163" s="54"/>
      <c r="G163" s="81"/>
      <c r="H163" s="81"/>
      <c r="I163" s="81"/>
    </row>
    <row r="164">
      <c r="E164" s="54"/>
      <c r="F164" s="81"/>
      <c r="G164" s="54"/>
      <c r="H164" s="54"/>
      <c r="I164" s="54"/>
    </row>
    <row r="165">
      <c r="E165" s="79"/>
      <c r="F165" s="79"/>
      <c r="G165" s="80"/>
      <c r="H165" s="79"/>
      <c r="I165" s="79"/>
    </row>
    <row r="166">
      <c r="E166" s="79"/>
      <c r="F166" s="79"/>
      <c r="G166" s="79"/>
      <c r="H166" s="80"/>
      <c r="I166" s="80"/>
    </row>
    <row r="167">
      <c r="E167" s="79"/>
      <c r="F167" s="80"/>
      <c r="G167" s="80"/>
      <c r="H167" s="80"/>
      <c r="I167" s="80"/>
    </row>
    <row r="168">
      <c r="E168" s="79"/>
      <c r="F168" s="80"/>
      <c r="G168" s="79"/>
      <c r="H168" s="79"/>
      <c r="I168" s="79"/>
    </row>
    <row r="169">
      <c r="E169" s="79"/>
      <c r="F169" s="79"/>
      <c r="G169" s="80"/>
      <c r="H169" s="80"/>
      <c r="I169" s="80"/>
    </row>
    <row r="170">
      <c r="E170" s="79"/>
      <c r="F170" s="80"/>
      <c r="G170" s="80"/>
      <c r="H170" s="80"/>
      <c r="I170" s="80"/>
    </row>
    <row r="171">
      <c r="E171" s="79"/>
      <c r="F171" s="80"/>
      <c r="G171" s="79"/>
      <c r="H171" s="79"/>
      <c r="I171" s="79"/>
    </row>
    <row r="172">
      <c r="E172" s="79"/>
      <c r="F172" s="79"/>
      <c r="G172" s="80"/>
      <c r="H172" s="80"/>
      <c r="I172" s="80"/>
    </row>
    <row r="173">
      <c r="E173" s="79"/>
      <c r="F173" s="80"/>
      <c r="G173" s="79"/>
      <c r="H173" s="79"/>
      <c r="I173" s="79"/>
    </row>
    <row r="174">
      <c r="E174" s="79"/>
      <c r="F174" s="80"/>
      <c r="G174" s="80"/>
      <c r="H174" s="80"/>
      <c r="I174" s="80"/>
    </row>
    <row r="175">
      <c r="E175" s="79"/>
      <c r="F175" s="80"/>
      <c r="G175" s="79"/>
      <c r="H175" s="79"/>
      <c r="I175" s="79"/>
    </row>
    <row r="181">
      <c r="A181" s="1"/>
      <c r="B181" s="1"/>
      <c r="E181" s="79"/>
      <c r="F181" s="80"/>
      <c r="G181" s="79"/>
      <c r="H181" s="79"/>
      <c r="I181" s="79"/>
    </row>
    <row r="182">
      <c r="E182" s="79"/>
      <c r="F182" s="80"/>
      <c r="G182" s="79"/>
      <c r="H182" s="79"/>
      <c r="I182" s="79"/>
    </row>
    <row r="183">
      <c r="E183" s="79"/>
      <c r="F183" s="79"/>
      <c r="G183" s="80"/>
      <c r="H183" s="79"/>
      <c r="I183" s="79"/>
    </row>
    <row r="184">
      <c r="E184" s="79"/>
      <c r="F184" s="79"/>
      <c r="G184" s="80"/>
      <c r="H184" s="80"/>
      <c r="I184" s="80"/>
    </row>
    <row r="185">
      <c r="E185" s="79"/>
      <c r="F185" s="80"/>
      <c r="G185" s="79"/>
      <c r="H185" s="79"/>
      <c r="I185" s="79"/>
    </row>
    <row r="186">
      <c r="E186" s="79"/>
      <c r="F186" s="80"/>
      <c r="G186" s="80"/>
      <c r="H186" s="80"/>
      <c r="I186" s="80"/>
    </row>
    <row r="187">
      <c r="E187" s="79"/>
      <c r="F187" s="80"/>
      <c r="G187" s="79"/>
      <c r="H187" s="79"/>
      <c r="I187" s="79"/>
    </row>
    <row r="188">
      <c r="E188" s="79"/>
      <c r="F188" s="80"/>
      <c r="G188" s="80"/>
      <c r="H188" s="79"/>
      <c r="I188" s="79"/>
    </row>
    <row r="189">
      <c r="E189" s="79"/>
      <c r="F189" s="79"/>
      <c r="G189" s="80"/>
      <c r="H189" s="80"/>
      <c r="I189" s="80"/>
    </row>
    <row r="190">
      <c r="E190" s="79"/>
      <c r="F190" s="80"/>
      <c r="G190" s="79"/>
      <c r="H190" s="79"/>
      <c r="I190" s="79"/>
    </row>
    <row r="191">
      <c r="E191" s="79"/>
      <c r="F191" s="80"/>
      <c r="G191" s="79"/>
      <c r="H191" s="79"/>
      <c r="I191" s="79"/>
    </row>
    <row r="192">
      <c r="E192" s="79"/>
      <c r="F192" s="80"/>
      <c r="G192" s="80"/>
      <c r="H192" s="80"/>
      <c r="I192" s="80"/>
    </row>
    <row r="193">
      <c r="E193" s="79"/>
      <c r="F193" s="80"/>
      <c r="G193" s="79"/>
      <c r="H193" s="79"/>
      <c r="I193" s="79"/>
    </row>
    <row r="194">
      <c r="E194" s="79"/>
      <c r="F194" s="80"/>
      <c r="G194" s="79"/>
      <c r="H194" s="79"/>
      <c r="I194" s="79"/>
    </row>
    <row r="195">
      <c r="E195" s="79"/>
      <c r="F195" s="79"/>
      <c r="G195" s="80"/>
      <c r="H195" s="80"/>
      <c r="I195" s="80"/>
    </row>
    <row r="196">
      <c r="E196" s="79"/>
      <c r="F196" s="79"/>
      <c r="G196" s="80"/>
      <c r="H196" s="80"/>
      <c r="I196" s="80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3" max="3" width="28.75"/>
  </cols>
  <sheetData>
    <row r="5">
      <c r="A5" s="1" t="s">
        <v>1175</v>
      </c>
      <c r="B5" s="1">
        <v>30.0</v>
      </c>
    </row>
    <row r="7">
      <c r="A7" s="1" t="s">
        <v>1177</v>
      </c>
      <c r="B7" s="1">
        <v>30.0</v>
      </c>
    </row>
    <row r="8">
      <c r="A8" s="1" t="s">
        <v>1179</v>
      </c>
      <c r="B8" s="1">
        <v>20.0</v>
      </c>
    </row>
    <row r="9">
      <c r="A9" s="1" t="s">
        <v>1182</v>
      </c>
      <c r="B9" s="1">
        <v>50.0</v>
      </c>
    </row>
    <row r="10">
      <c r="A10" s="1" t="s">
        <v>1184</v>
      </c>
      <c r="B10" s="1">
        <v>30.0</v>
      </c>
    </row>
    <row r="11">
      <c r="A11" s="1" t="s">
        <v>1187</v>
      </c>
      <c r="B11" s="1">
        <v>40.0</v>
      </c>
    </row>
    <row r="12">
      <c r="A12" s="1" t="s">
        <v>1190</v>
      </c>
      <c r="B12" s="1">
        <v>60.0</v>
      </c>
    </row>
    <row r="13">
      <c r="A13" s="1" t="s">
        <v>1193</v>
      </c>
      <c r="B13" s="1">
        <v>80.0</v>
      </c>
    </row>
    <row r="14">
      <c r="A14" s="1" t="s">
        <v>1194</v>
      </c>
      <c r="B14" s="1">
        <v>60.0</v>
      </c>
    </row>
    <row r="15">
      <c r="A15" s="1" t="s">
        <v>1196</v>
      </c>
      <c r="B15" s="1">
        <v>40.0</v>
      </c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3" max="3" width="17.5"/>
  </cols>
  <sheetData>
    <row r="1">
      <c r="A1" s="1" t="s">
        <v>1176</v>
      </c>
      <c r="B1" s="1">
        <v>30.0</v>
      </c>
    </row>
    <row r="4">
      <c r="A4" s="1" t="s">
        <v>1181</v>
      </c>
      <c r="B4" s="1">
        <v>10.0</v>
      </c>
    </row>
    <row r="5">
      <c r="A5" s="1" t="s">
        <v>1185</v>
      </c>
      <c r="B5" s="1">
        <v>20.0</v>
      </c>
    </row>
    <row r="8">
      <c r="A8" s="1" t="s">
        <v>1188</v>
      </c>
      <c r="B8" s="1">
        <v>10.0</v>
      </c>
    </row>
    <row r="9">
      <c r="A9" s="1" t="s">
        <v>1192</v>
      </c>
      <c r="B9" s="1">
        <v>10.0</v>
      </c>
    </row>
    <row r="10">
      <c r="A10" s="1" t="s">
        <v>1195</v>
      </c>
      <c r="B10" s="1">
        <v>30.0</v>
      </c>
    </row>
    <row r="12">
      <c r="A12" s="1" t="s">
        <v>1198</v>
      </c>
      <c r="B12" s="1">
        <v>10.0</v>
      </c>
    </row>
    <row r="13">
      <c r="A13" s="1" t="s">
        <v>1200</v>
      </c>
      <c r="B13" s="1">
        <v>20.0</v>
      </c>
    </row>
    <row r="15">
      <c r="A15" s="1" t="s">
        <v>1203</v>
      </c>
      <c r="B15" s="1">
        <v>20.0</v>
      </c>
    </row>
    <row r="16">
      <c r="A16" s="1" t="s">
        <v>1204</v>
      </c>
      <c r="B16" s="1">
        <v>20.0</v>
      </c>
    </row>
    <row r="17">
      <c r="A17" s="1" t="s">
        <v>1205</v>
      </c>
      <c r="B17" s="1">
        <v>30.0</v>
      </c>
    </row>
    <row r="18">
      <c r="A18" s="1" t="s">
        <v>1206</v>
      </c>
      <c r="B18" s="1">
        <v>9.0</v>
      </c>
    </row>
    <row r="19">
      <c r="A19" s="1" t="s">
        <v>1207</v>
      </c>
      <c r="B19" s="1">
        <v>15.0</v>
      </c>
    </row>
    <row r="20">
      <c r="A20" s="1" t="s">
        <v>1209</v>
      </c>
      <c r="B20" s="1">
        <v>18.0</v>
      </c>
    </row>
    <row r="21">
      <c r="A21" s="1" t="s">
        <v>1211</v>
      </c>
      <c r="B21" s="1">
        <v>28.0</v>
      </c>
    </row>
    <row r="22">
      <c r="A22" s="1" t="s">
        <v>1213</v>
      </c>
      <c r="B22" s="1">
        <v>30.0</v>
      </c>
    </row>
    <row r="23">
      <c r="A23" s="1" t="s">
        <v>1215</v>
      </c>
      <c r="B23" s="1">
        <v>20.0</v>
      </c>
    </row>
    <row r="24">
      <c r="A24" s="1" t="s">
        <v>1217</v>
      </c>
      <c r="B24" s="1">
        <v>19.0</v>
      </c>
    </row>
    <row r="25">
      <c r="A25" s="1" t="s">
        <v>1219</v>
      </c>
      <c r="B25" s="1">
        <v>30.0</v>
      </c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2" width="18.0"/>
  </cols>
  <sheetData>
    <row r="1">
      <c r="B1" s="83"/>
      <c r="C1" s="84"/>
      <c r="D1" s="84"/>
      <c r="E1" s="84"/>
      <c r="F1" s="84"/>
      <c r="G1" s="84"/>
      <c r="H1" s="84"/>
    </row>
    <row r="2">
      <c r="B2" s="83"/>
      <c r="C2" s="84"/>
      <c r="D2" s="84"/>
      <c r="E2" s="84"/>
      <c r="F2" s="84"/>
      <c r="G2" s="84"/>
      <c r="H2" s="84"/>
      <c r="I2" s="85"/>
      <c r="J2" s="85"/>
      <c r="L2" s="85"/>
      <c r="M2" s="85"/>
      <c r="N2" s="85"/>
    </row>
    <row r="3">
      <c r="B3" s="83"/>
      <c r="C3" s="84"/>
      <c r="D3" s="84"/>
      <c r="E3" s="84"/>
      <c r="F3" s="84"/>
      <c r="G3" s="84"/>
      <c r="H3" s="84"/>
      <c r="I3" s="85"/>
      <c r="J3" s="85"/>
      <c r="K3" s="85"/>
      <c r="L3" s="85"/>
      <c r="M3" s="85"/>
      <c r="N3" s="85"/>
    </row>
    <row r="4">
      <c r="B4" s="86"/>
      <c r="C4" s="84"/>
      <c r="D4" s="84"/>
      <c r="E4" s="84"/>
      <c r="F4" s="84"/>
      <c r="G4" s="84"/>
      <c r="H4" s="84"/>
      <c r="I4" s="85"/>
      <c r="J4" s="85"/>
      <c r="K4" s="85"/>
      <c r="L4" s="85"/>
      <c r="M4" s="85"/>
      <c r="N4" s="85"/>
    </row>
    <row r="5">
      <c r="A5" s="1" t="s">
        <v>1248</v>
      </c>
      <c r="B5" s="8">
        <v>10.0</v>
      </c>
      <c r="C5" s="87"/>
      <c r="D5" s="88"/>
      <c r="E5" s="88"/>
      <c r="F5" s="88"/>
    </row>
    <row r="6">
      <c r="A6" s="1" t="s">
        <v>1251</v>
      </c>
      <c r="B6" s="8">
        <v>30.0</v>
      </c>
    </row>
    <row r="7">
      <c r="A7" s="1" t="s">
        <v>1254</v>
      </c>
      <c r="B7" s="8">
        <v>10.0</v>
      </c>
    </row>
    <row r="8">
      <c r="A8" s="1" t="s">
        <v>1258</v>
      </c>
      <c r="B8" s="8">
        <v>20.0</v>
      </c>
    </row>
    <row r="9">
      <c r="A9" s="1" t="s">
        <v>1262</v>
      </c>
      <c r="B9" s="8">
        <v>20.0</v>
      </c>
    </row>
    <row r="10">
      <c r="A10" s="1" t="s">
        <v>1266</v>
      </c>
      <c r="B10" s="8">
        <v>10.0</v>
      </c>
    </row>
    <row r="11">
      <c r="B11" s="8"/>
    </row>
    <row r="12">
      <c r="A12" s="1" t="s">
        <v>1272</v>
      </c>
      <c r="B12" s="8">
        <v>10.0</v>
      </c>
    </row>
    <row r="13">
      <c r="A13" s="1" t="s">
        <v>1276</v>
      </c>
      <c r="B13" s="83">
        <v>20.0</v>
      </c>
    </row>
    <row r="14">
      <c r="A14" s="1" t="s">
        <v>1280</v>
      </c>
      <c r="B14" s="83">
        <v>10.0</v>
      </c>
    </row>
    <row r="15">
      <c r="A15" s="1" t="s">
        <v>1284</v>
      </c>
      <c r="B15" s="83">
        <v>40.0</v>
      </c>
    </row>
    <row r="16">
      <c r="A16" s="1" t="s">
        <v>1287</v>
      </c>
      <c r="B16" s="8">
        <v>5.0</v>
      </c>
    </row>
    <row r="17">
      <c r="A17" s="1" t="s">
        <v>1288</v>
      </c>
      <c r="B17" s="8">
        <v>15.0</v>
      </c>
    </row>
    <row r="18">
      <c r="A18" s="1" t="s">
        <v>1289</v>
      </c>
      <c r="B18" s="8">
        <v>10.0</v>
      </c>
      <c r="C18" s="84"/>
      <c r="D18" s="84"/>
      <c r="E18" s="84"/>
      <c r="F18" s="84"/>
      <c r="G18" s="84"/>
      <c r="H18" s="84"/>
    </row>
    <row r="19">
      <c r="B19" s="8"/>
    </row>
    <row r="20">
      <c r="B20" s="8"/>
    </row>
    <row r="21">
      <c r="A21" s="1" t="s">
        <v>1290</v>
      </c>
      <c r="B21" s="8">
        <v>20.0</v>
      </c>
    </row>
    <row r="22">
      <c r="A22" s="1" t="s">
        <v>1291</v>
      </c>
      <c r="B22" s="8">
        <v>10.0</v>
      </c>
    </row>
    <row r="23">
      <c r="A23" s="1" t="s">
        <v>1292</v>
      </c>
      <c r="B23" s="8">
        <v>15.0</v>
      </c>
    </row>
    <row r="24">
      <c r="A24" s="1" t="s">
        <v>1294</v>
      </c>
      <c r="B24" s="8">
        <v>50.0</v>
      </c>
    </row>
    <row r="25">
      <c r="A25" s="1" t="s">
        <v>1296</v>
      </c>
      <c r="B25" s="8">
        <v>20.0</v>
      </c>
    </row>
    <row r="26">
      <c r="A26" s="1" t="s">
        <v>1299</v>
      </c>
      <c r="B26" s="8">
        <v>10.0</v>
      </c>
    </row>
    <row r="27">
      <c r="A27" s="1" t="s">
        <v>1302</v>
      </c>
      <c r="B27" s="8">
        <v>20.0</v>
      </c>
    </row>
    <row r="28">
      <c r="A28" s="1" t="s">
        <v>1305</v>
      </c>
      <c r="B28" s="8">
        <v>25.0</v>
      </c>
    </row>
    <row r="29">
      <c r="A29" s="1" t="s">
        <v>1308</v>
      </c>
      <c r="B29" s="8">
        <v>50.0</v>
      </c>
    </row>
    <row r="30">
      <c r="A30" s="1" t="s">
        <v>1310</v>
      </c>
      <c r="B30" s="8">
        <v>20.0</v>
      </c>
    </row>
    <row r="31">
      <c r="A31" s="1" t="s">
        <v>1311</v>
      </c>
      <c r="B31" s="8">
        <v>30.0</v>
      </c>
    </row>
    <row r="32">
      <c r="B32" s="8"/>
    </row>
    <row r="33">
      <c r="B33" s="8"/>
    </row>
    <row r="39">
      <c r="B39" s="18"/>
    </row>
    <row r="40">
      <c r="B40" s="18"/>
    </row>
    <row r="41">
      <c r="B41" s="18"/>
    </row>
    <row r="42">
      <c r="B42" s="18"/>
    </row>
    <row r="43">
      <c r="B43" s="18"/>
    </row>
    <row r="44">
      <c r="B44" s="18"/>
    </row>
    <row r="45">
      <c r="B45" s="18"/>
    </row>
    <row r="46">
      <c r="B46" s="18"/>
    </row>
    <row r="47">
      <c r="B47" s="18"/>
    </row>
    <row r="48">
      <c r="B48" s="18"/>
    </row>
    <row r="49">
      <c r="B49" s="18"/>
    </row>
    <row r="50">
      <c r="B50" s="18"/>
    </row>
    <row r="51">
      <c r="B51" s="18"/>
    </row>
    <row r="52">
      <c r="B52" s="18"/>
    </row>
    <row r="53">
      <c r="B53" s="18"/>
    </row>
    <row r="54">
      <c r="B54" s="18"/>
    </row>
    <row r="55">
      <c r="B55" s="18"/>
    </row>
    <row r="56">
      <c r="B56" s="18"/>
    </row>
    <row r="57">
      <c r="B57" s="18"/>
    </row>
    <row r="58">
      <c r="B58" s="18"/>
    </row>
    <row r="59">
      <c r="B59" s="18"/>
    </row>
    <row r="60">
      <c r="B60" s="18"/>
    </row>
    <row r="61">
      <c r="B61" s="18"/>
    </row>
    <row r="62">
      <c r="B62" s="18"/>
    </row>
    <row r="63">
      <c r="B63" s="18"/>
    </row>
    <row r="64">
      <c r="B64" s="18"/>
    </row>
    <row r="65">
      <c r="B65" s="18"/>
    </row>
    <row r="66">
      <c r="B66" s="18"/>
    </row>
    <row r="67">
      <c r="B67" s="18"/>
    </row>
    <row r="68">
      <c r="B68" s="18"/>
    </row>
    <row r="69">
      <c r="B69" s="18"/>
    </row>
    <row r="70">
      <c r="B70" s="18"/>
    </row>
    <row r="71">
      <c r="B71" s="18"/>
    </row>
    <row r="72">
      <c r="B72" s="18"/>
    </row>
    <row r="73">
      <c r="B73" s="18"/>
    </row>
    <row r="74">
      <c r="B74" s="18"/>
    </row>
    <row r="75">
      <c r="B75" s="18"/>
    </row>
    <row r="76">
      <c r="B76" s="18"/>
    </row>
    <row r="77">
      <c r="B77" s="18"/>
    </row>
    <row r="78">
      <c r="B78" s="18"/>
    </row>
    <row r="79">
      <c r="B79" s="18"/>
    </row>
    <row r="80">
      <c r="B80" s="18"/>
    </row>
    <row r="81">
      <c r="B81" s="18"/>
    </row>
    <row r="82">
      <c r="B82" s="18"/>
    </row>
    <row r="83">
      <c r="B83" s="18"/>
    </row>
    <row r="84">
      <c r="B84" s="18"/>
    </row>
    <row r="85">
      <c r="B85" s="18"/>
    </row>
    <row r="86">
      <c r="B86" s="18"/>
    </row>
    <row r="87">
      <c r="B87" s="18"/>
    </row>
    <row r="88">
      <c r="B88" s="18"/>
    </row>
    <row r="89">
      <c r="B89" s="18"/>
    </row>
    <row r="90">
      <c r="B90" s="18"/>
    </row>
    <row r="91">
      <c r="B91" s="18"/>
    </row>
    <row r="92">
      <c r="B92" s="18"/>
    </row>
    <row r="93">
      <c r="B93" s="18"/>
    </row>
    <row r="94">
      <c r="B94" s="18"/>
    </row>
    <row r="95">
      <c r="B95" s="18"/>
    </row>
    <row r="96">
      <c r="B96" s="18"/>
    </row>
    <row r="97">
      <c r="B97" s="18"/>
    </row>
    <row r="98">
      <c r="B98" s="18"/>
    </row>
    <row r="99">
      <c r="B99" s="18"/>
    </row>
    <row r="100">
      <c r="B100" s="18"/>
    </row>
    <row r="101">
      <c r="B101" s="18"/>
    </row>
    <row r="102">
      <c r="B102" s="18"/>
    </row>
    <row r="103">
      <c r="B103" s="18"/>
    </row>
    <row r="104">
      <c r="B104" s="18"/>
    </row>
    <row r="105">
      <c r="B105" s="18"/>
    </row>
    <row r="106">
      <c r="B106" s="18"/>
    </row>
    <row r="107">
      <c r="B107" s="18"/>
    </row>
    <row r="108">
      <c r="B108" s="18"/>
    </row>
    <row r="109">
      <c r="B109" s="18"/>
    </row>
    <row r="110">
      <c r="B110" s="18"/>
    </row>
    <row r="111">
      <c r="B111" s="18"/>
    </row>
    <row r="112">
      <c r="B112" s="18"/>
    </row>
    <row r="113">
      <c r="B113" s="18"/>
    </row>
    <row r="114">
      <c r="B114" s="18"/>
    </row>
    <row r="115">
      <c r="B115" s="18"/>
    </row>
    <row r="116">
      <c r="B116" s="18"/>
    </row>
    <row r="117">
      <c r="B117" s="18"/>
    </row>
    <row r="118">
      <c r="B118" s="18"/>
    </row>
    <row r="119">
      <c r="B119" s="18"/>
    </row>
    <row r="120">
      <c r="B120" s="18"/>
    </row>
    <row r="121">
      <c r="B121" s="18"/>
    </row>
    <row r="122">
      <c r="B122" s="18"/>
    </row>
    <row r="123">
      <c r="B123" s="18"/>
    </row>
    <row r="124">
      <c r="B124" s="18"/>
    </row>
    <row r="125">
      <c r="B125" s="18"/>
    </row>
    <row r="126">
      <c r="B126" s="18"/>
    </row>
    <row r="127">
      <c r="B127" s="18"/>
    </row>
    <row r="128">
      <c r="B128" s="18"/>
    </row>
    <row r="129">
      <c r="B129" s="18"/>
    </row>
    <row r="130">
      <c r="B130" s="18"/>
    </row>
    <row r="131">
      <c r="B131" s="18"/>
    </row>
    <row r="132">
      <c r="B132" s="18"/>
    </row>
    <row r="133">
      <c r="B133" s="18"/>
    </row>
    <row r="134">
      <c r="B134" s="18"/>
    </row>
    <row r="135">
      <c r="B135" s="18"/>
    </row>
    <row r="136">
      <c r="B136" s="18"/>
    </row>
    <row r="137">
      <c r="B137" s="18"/>
    </row>
    <row r="138">
      <c r="B138" s="18"/>
    </row>
    <row r="139">
      <c r="B139" s="18"/>
    </row>
    <row r="140">
      <c r="B140" s="18"/>
    </row>
    <row r="141">
      <c r="B141" s="18"/>
    </row>
    <row r="142">
      <c r="B142" s="18"/>
    </row>
    <row r="143">
      <c r="B143" s="18"/>
    </row>
    <row r="144">
      <c r="B144" s="18"/>
    </row>
    <row r="145">
      <c r="B145" s="18"/>
    </row>
    <row r="146">
      <c r="B146" s="18"/>
    </row>
    <row r="147">
      <c r="B147" s="18"/>
    </row>
    <row r="148">
      <c r="B148" s="18"/>
    </row>
    <row r="149">
      <c r="B149" s="18"/>
    </row>
    <row r="150">
      <c r="B150" s="18"/>
    </row>
    <row r="151">
      <c r="B151" s="18"/>
    </row>
    <row r="152">
      <c r="B152" s="18"/>
    </row>
    <row r="153">
      <c r="B153" s="18"/>
    </row>
    <row r="154">
      <c r="B154" s="18"/>
    </row>
    <row r="155">
      <c r="B155" s="18"/>
    </row>
    <row r="156">
      <c r="B156" s="18"/>
    </row>
    <row r="157">
      <c r="B157" s="18"/>
    </row>
    <row r="158">
      <c r="B158" s="18"/>
    </row>
    <row r="159">
      <c r="B159" s="18"/>
    </row>
    <row r="160">
      <c r="B160" s="18"/>
    </row>
    <row r="161">
      <c r="B161" s="18"/>
    </row>
    <row r="162">
      <c r="B162" s="18"/>
    </row>
    <row r="163">
      <c r="B163" s="18"/>
    </row>
    <row r="164">
      <c r="B164" s="18"/>
    </row>
    <row r="165">
      <c r="B165" s="18"/>
    </row>
    <row r="166">
      <c r="B166" s="18"/>
    </row>
    <row r="167">
      <c r="B167" s="18"/>
    </row>
    <row r="168">
      <c r="B168" s="18"/>
    </row>
    <row r="169">
      <c r="B169" s="18"/>
    </row>
    <row r="170">
      <c r="B170" s="18"/>
    </row>
    <row r="171">
      <c r="B171" s="18"/>
    </row>
    <row r="172">
      <c r="B172" s="18"/>
    </row>
    <row r="173">
      <c r="B173" s="18"/>
    </row>
    <row r="174">
      <c r="B174" s="18"/>
    </row>
    <row r="175">
      <c r="B175" s="18"/>
    </row>
    <row r="176">
      <c r="B176" s="18"/>
    </row>
    <row r="177">
      <c r="B177" s="18"/>
    </row>
    <row r="178">
      <c r="B178" s="18"/>
    </row>
    <row r="179">
      <c r="B179" s="18"/>
    </row>
    <row r="180">
      <c r="B180" s="18"/>
    </row>
    <row r="181">
      <c r="B181" s="18"/>
    </row>
    <row r="182">
      <c r="B182" s="18"/>
    </row>
    <row r="183">
      <c r="B183" s="18"/>
    </row>
    <row r="184">
      <c r="B184" s="18"/>
    </row>
    <row r="185">
      <c r="B185" s="18"/>
    </row>
    <row r="186">
      <c r="B186" s="18"/>
    </row>
    <row r="187">
      <c r="B187" s="18"/>
    </row>
    <row r="188">
      <c r="B188" s="18"/>
    </row>
    <row r="189">
      <c r="B189" s="18"/>
    </row>
    <row r="190">
      <c r="B190" s="18"/>
    </row>
    <row r="191">
      <c r="B191" s="18"/>
    </row>
    <row r="192">
      <c r="B192" s="18"/>
    </row>
    <row r="193">
      <c r="B193" s="18"/>
    </row>
    <row r="194">
      <c r="B194" s="18"/>
    </row>
    <row r="195">
      <c r="B195" s="18"/>
    </row>
    <row r="196">
      <c r="B196" s="18"/>
    </row>
    <row r="197">
      <c r="B197" s="18"/>
    </row>
    <row r="198">
      <c r="B198" s="18"/>
    </row>
    <row r="199">
      <c r="B199" s="18"/>
    </row>
    <row r="200">
      <c r="B200" s="18"/>
    </row>
    <row r="201">
      <c r="B201" s="18"/>
    </row>
    <row r="202">
      <c r="B202" s="18"/>
    </row>
    <row r="203">
      <c r="B203" s="18"/>
    </row>
    <row r="204">
      <c r="B204" s="18"/>
    </row>
    <row r="205">
      <c r="B205" s="18"/>
    </row>
    <row r="206">
      <c r="B206" s="18"/>
    </row>
    <row r="207">
      <c r="B207" s="18"/>
    </row>
    <row r="208">
      <c r="B208" s="18"/>
    </row>
    <row r="209">
      <c r="B209" s="18"/>
    </row>
    <row r="210">
      <c r="B210" s="18"/>
    </row>
    <row r="211">
      <c r="B211" s="18"/>
    </row>
    <row r="212">
      <c r="B212" s="18"/>
    </row>
    <row r="213">
      <c r="B213" s="18"/>
    </row>
    <row r="214">
      <c r="B214" s="18"/>
    </row>
    <row r="215">
      <c r="B215" s="18"/>
    </row>
    <row r="216">
      <c r="B216" s="18"/>
    </row>
    <row r="217">
      <c r="B217" s="18"/>
    </row>
    <row r="218">
      <c r="B218" s="18"/>
    </row>
    <row r="219">
      <c r="B219" s="18"/>
    </row>
    <row r="220">
      <c r="B220" s="18"/>
    </row>
    <row r="221">
      <c r="B221" s="18"/>
    </row>
    <row r="222">
      <c r="B222" s="18"/>
    </row>
    <row r="223">
      <c r="B223" s="18"/>
    </row>
    <row r="224">
      <c r="B224" s="18"/>
    </row>
    <row r="225">
      <c r="B225" s="18"/>
    </row>
    <row r="226">
      <c r="B226" s="18"/>
    </row>
    <row r="227">
      <c r="B227" s="18"/>
    </row>
    <row r="228">
      <c r="B228" s="18"/>
    </row>
    <row r="229">
      <c r="B229" s="18"/>
    </row>
    <row r="230">
      <c r="B230" s="18"/>
    </row>
    <row r="231">
      <c r="B231" s="18"/>
    </row>
    <row r="232">
      <c r="B232" s="18"/>
    </row>
    <row r="233">
      <c r="B233" s="18"/>
    </row>
    <row r="234">
      <c r="B234" s="18"/>
    </row>
    <row r="235">
      <c r="B235" s="18"/>
    </row>
    <row r="236">
      <c r="B236" s="18"/>
    </row>
    <row r="237">
      <c r="B237" s="18"/>
    </row>
    <row r="238">
      <c r="B238" s="18"/>
    </row>
    <row r="239">
      <c r="B239" s="18"/>
    </row>
    <row r="240">
      <c r="B240" s="18"/>
    </row>
    <row r="241">
      <c r="B241" s="18"/>
    </row>
    <row r="242">
      <c r="B242" s="18"/>
    </row>
    <row r="243">
      <c r="B243" s="18"/>
    </row>
    <row r="244">
      <c r="B244" s="18"/>
    </row>
    <row r="245">
      <c r="B245" s="18"/>
    </row>
    <row r="246">
      <c r="B246" s="18"/>
    </row>
    <row r="247">
      <c r="B247" s="18"/>
    </row>
    <row r="248">
      <c r="B248" s="18"/>
    </row>
    <row r="249">
      <c r="B249" s="18"/>
    </row>
    <row r="250">
      <c r="B250" s="18"/>
    </row>
    <row r="251">
      <c r="B251" s="18"/>
    </row>
    <row r="252">
      <c r="B252" s="18"/>
    </row>
    <row r="253">
      <c r="B253" s="18"/>
    </row>
    <row r="254">
      <c r="B254" s="18"/>
    </row>
    <row r="255">
      <c r="B255" s="18"/>
    </row>
    <row r="256">
      <c r="B256" s="18"/>
    </row>
    <row r="257">
      <c r="B257" s="18"/>
    </row>
    <row r="258">
      <c r="B258" s="18"/>
    </row>
    <row r="259">
      <c r="B259" s="18"/>
    </row>
    <row r="260">
      <c r="B260" s="18"/>
    </row>
    <row r="261">
      <c r="B261" s="18"/>
    </row>
    <row r="262">
      <c r="B262" s="18"/>
    </row>
    <row r="263">
      <c r="B263" s="18"/>
    </row>
    <row r="264">
      <c r="B264" s="18"/>
    </row>
    <row r="265">
      <c r="B265" s="18"/>
    </row>
    <row r="266">
      <c r="B266" s="18"/>
    </row>
    <row r="267">
      <c r="B267" s="18"/>
    </row>
    <row r="268">
      <c r="B268" s="18"/>
    </row>
    <row r="269">
      <c r="B269" s="18"/>
    </row>
    <row r="270">
      <c r="B270" s="18"/>
    </row>
    <row r="271">
      <c r="B271" s="18"/>
    </row>
    <row r="272">
      <c r="B272" s="18"/>
    </row>
    <row r="273">
      <c r="B273" s="18"/>
    </row>
    <row r="274">
      <c r="B274" s="18"/>
    </row>
    <row r="275">
      <c r="B275" s="18"/>
    </row>
    <row r="276">
      <c r="B276" s="18"/>
    </row>
    <row r="277">
      <c r="B277" s="18"/>
    </row>
    <row r="278">
      <c r="B278" s="18"/>
    </row>
    <row r="279">
      <c r="B279" s="18"/>
    </row>
    <row r="280">
      <c r="B280" s="18"/>
    </row>
    <row r="281">
      <c r="B281" s="18"/>
    </row>
    <row r="282">
      <c r="B282" s="18"/>
    </row>
    <row r="283">
      <c r="B283" s="18"/>
    </row>
    <row r="284">
      <c r="B284" s="18"/>
    </row>
    <row r="285">
      <c r="B285" s="18"/>
    </row>
    <row r="286">
      <c r="B286" s="18"/>
    </row>
    <row r="287">
      <c r="B287" s="18"/>
    </row>
    <row r="288">
      <c r="B288" s="18"/>
    </row>
    <row r="289">
      <c r="B289" s="18"/>
    </row>
    <row r="290">
      <c r="B290" s="18"/>
    </row>
    <row r="291">
      <c r="B291" s="18"/>
    </row>
    <row r="292">
      <c r="B292" s="18"/>
    </row>
    <row r="293">
      <c r="B293" s="18"/>
    </row>
    <row r="294">
      <c r="B294" s="18"/>
    </row>
    <row r="295">
      <c r="B295" s="18"/>
    </row>
    <row r="296">
      <c r="B296" s="18"/>
    </row>
    <row r="297">
      <c r="B297" s="18"/>
    </row>
    <row r="298">
      <c r="B298" s="18"/>
    </row>
    <row r="299">
      <c r="B299" s="18"/>
    </row>
    <row r="300">
      <c r="B300" s="18"/>
    </row>
    <row r="301">
      <c r="B301" s="18"/>
    </row>
    <row r="302">
      <c r="B302" s="18"/>
    </row>
    <row r="303">
      <c r="B303" s="18"/>
    </row>
    <row r="304">
      <c r="B304" s="18"/>
    </row>
    <row r="305">
      <c r="B305" s="18"/>
    </row>
    <row r="306">
      <c r="B306" s="18"/>
    </row>
    <row r="307">
      <c r="B307" s="18"/>
    </row>
    <row r="308">
      <c r="B308" s="18"/>
    </row>
    <row r="309">
      <c r="B309" s="18"/>
    </row>
    <row r="310">
      <c r="B310" s="18"/>
    </row>
    <row r="311">
      <c r="B311" s="18"/>
    </row>
    <row r="312">
      <c r="B312" s="18"/>
    </row>
    <row r="313">
      <c r="B313" s="18"/>
    </row>
    <row r="314">
      <c r="B314" s="18"/>
    </row>
    <row r="315">
      <c r="B315" s="18"/>
    </row>
    <row r="316">
      <c r="B316" s="18"/>
    </row>
    <row r="317">
      <c r="B317" s="18"/>
    </row>
    <row r="318">
      <c r="B318" s="18"/>
    </row>
    <row r="319">
      <c r="B319" s="18"/>
    </row>
    <row r="320">
      <c r="B320" s="18"/>
    </row>
    <row r="321">
      <c r="B321" s="18"/>
    </row>
    <row r="322">
      <c r="B322" s="18"/>
    </row>
    <row r="323">
      <c r="B323" s="18"/>
    </row>
    <row r="324">
      <c r="B324" s="18"/>
    </row>
    <row r="325">
      <c r="B325" s="18"/>
    </row>
    <row r="326">
      <c r="B326" s="18"/>
    </row>
    <row r="327">
      <c r="B327" s="18"/>
    </row>
    <row r="328">
      <c r="B328" s="18"/>
    </row>
    <row r="329">
      <c r="B329" s="18"/>
    </row>
    <row r="330">
      <c r="B330" s="18"/>
    </row>
    <row r="331">
      <c r="B331" s="18"/>
    </row>
    <row r="332">
      <c r="B332" s="18"/>
    </row>
    <row r="333">
      <c r="B333" s="18"/>
    </row>
    <row r="334">
      <c r="B334" s="18"/>
    </row>
    <row r="335">
      <c r="B335" s="18"/>
    </row>
    <row r="336">
      <c r="B336" s="18"/>
    </row>
    <row r="337">
      <c r="B337" s="18"/>
    </row>
    <row r="338">
      <c r="B338" s="18"/>
    </row>
    <row r="339">
      <c r="B339" s="18"/>
    </row>
    <row r="340">
      <c r="B340" s="18"/>
    </row>
    <row r="341">
      <c r="B341" s="18"/>
    </row>
    <row r="342">
      <c r="B342" s="18"/>
    </row>
    <row r="343">
      <c r="B343" s="18"/>
    </row>
    <row r="344">
      <c r="B344" s="18"/>
    </row>
    <row r="345">
      <c r="B345" s="18"/>
    </row>
    <row r="346">
      <c r="B346" s="18"/>
    </row>
    <row r="347">
      <c r="B347" s="18"/>
    </row>
    <row r="348">
      <c r="B348" s="18"/>
    </row>
    <row r="349">
      <c r="B349" s="18"/>
    </row>
    <row r="350">
      <c r="B350" s="18"/>
    </row>
    <row r="351">
      <c r="B351" s="18"/>
    </row>
    <row r="352">
      <c r="B352" s="18"/>
    </row>
    <row r="353">
      <c r="B353" s="18"/>
    </row>
    <row r="354">
      <c r="B354" s="18"/>
    </row>
    <row r="355">
      <c r="B355" s="18"/>
    </row>
    <row r="356">
      <c r="B356" s="18"/>
    </row>
    <row r="357">
      <c r="B357" s="18"/>
    </row>
    <row r="358">
      <c r="B358" s="18"/>
    </row>
    <row r="359">
      <c r="B359" s="18"/>
    </row>
    <row r="360">
      <c r="B360" s="18"/>
    </row>
    <row r="361">
      <c r="B361" s="18"/>
    </row>
    <row r="362">
      <c r="B362" s="18"/>
    </row>
    <row r="363">
      <c r="B363" s="18"/>
    </row>
    <row r="364">
      <c r="B364" s="18"/>
    </row>
    <row r="365">
      <c r="B365" s="18"/>
    </row>
    <row r="366">
      <c r="B366" s="18"/>
    </row>
    <row r="367">
      <c r="B367" s="18"/>
    </row>
    <row r="368">
      <c r="B368" s="18"/>
    </row>
    <row r="369">
      <c r="B369" s="18"/>
    </row>
    <row r="370">
      <c r="B370" s="18"/>
    </row>
    <row r="371">
      <c r="B371" s="18"/>
    </row>
    <row r="372">
      <c r="B372" s="18"/>
    </row>
    <row r="373">
      <c r="B373" s="18"/>
    </row>
    <row r="374">
      <c r="B374" s="18"/>
    </row>
    <row r="375">
      <c r="B375" s="18"/>
    </row>
    <row r="376">
      <c r="B376" s="18"/>
    </row>
    <row r="377">
      <c r="B377" s="18"/>
    </row>
    <row r="378">
      <c r="B378" s="18"/>
    </row>
    <row r="379">
      <c r="B379" s="18"/>
    </row>
    <row r="380">
      <c r="B380" s="18"/>
    </row>
    <row r="381">
      <c r="B381" s="18"/>
    </row>
    <row r="382">
      <c r="B382" s="18"/>
    </row>
    <row r="383">
      <c r="B383" s="18"/>
    </row>
    <row r="384">
      <c r="B384" s="18"/>
    </row>
    <row r="385">
      <c r="B385" s="18"/>
    </row>
    <row r="386">
      <c r="B386" s="18"/>
    </row>
    <row r="387">
      <c r="B387" s="18"/>
    </row>
    <row r="388">
      <c r="B388" s="18"/>
    </row>
    <row r="389">
      <c r="B389" s="18"/>
    </row>
    <row r="390">
      <c r="B390" s="18"/>
    </row>
    <row r="391">
      <c r="B391" s="18"/>
    </row>
    <row r="392">
      <c r="B392" s="18"/>
    </row>
    <row r="393">
      <c r="B393" s="18"/>
    </row>
    <row r="394">
      <c r="B394" s="18"/>
    </row>
    <row r="395">
      <c r="B395" s="18"/>
    </row>
    <row r="396">
      <c r="B396" s="18"/>
    </row>
    <row r="397">
      <c r="B397" s="18"/>
    </row>
    <row r="398">
      <c r="B398" s="18"/>
    </row>
    <row r="399">
      <c r="B399" s="18"/>
    </row>
    <row r="400">
      <c r="B400" s="18"/>
    </row>
    <row r="401">
      <c r="B401" s="18"/>
    </row>
    <row r="402">
      <c r="B402" s="18"/>
    </row>
    <row r="403">
      <c r="B403" s="18"/>
    </row>
    <row r="404">
      <c r="B404" s="18"/>
    </row>
    <row r="405">
      <c r="B405" s="18"/>
    </row>
    <row r="406">
      <c r="B406" s="18"/>
    </row>
    <row r="407">
      <c r="B407" s="18"/>
    </row>
    <row r="408">
      <c r="B408" s="18"/>
    </row>
    <row r="409">
      <c r="B409" s="18"/>
    </row>
    <row r="410">
      <c r="B410" s="18"/>
    </row>
    <row r="411">
      <c r="B411" s="18"/>
    </row>
    <row r="412">
      <c r="B412" s="18"/>
    </row>
    <row r="413">
      <c r="B413" s="18"/>
    </row>
    <row r="414">
      <c r="B414" s="18"/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  <row r="844">
      <c r="B844" s="18"/>
    </row>
    <row r="845">
      <c r="B845" s="18"/>
    </row>
    <row r="846">
      <c r="B846" s="18"/>
    </row>
    <row r="847">
      <c r="B847" s="18"/>
    </row>
    <row r="848">
      <c r="B848" s="18"/>
    </row>
    <row r="849">
      <c r="B849" s="18"/>
    </row>
    <row r="850">
      <c r="B850" s="18"/>
    </row>
    <row r="851">
      <c r="B851" s="18"/>
    </row>
    <row r="852">
      <c r="B852" s="18"/>
    </row>
    <row r="853">
      <c r="B853" s="18"/>
    </row>
    <row r="854">
      <c r="B854" s="18"/>
    </row>
    <row r="855">
      <c r="B855" s="18"/>
    </row>
    <row r="856">
      <c r="B856" s="18"/>
    </row>
    <row r="857">
      <c r="B857" s="18"/>
    </row>
    <row r="858">
      <c r="B858" s="18"/>
    </row>
    <row r="859">
      <c r="B859" s="18"/>
    </row>
    <row r="860">
      <c r="B860" s="18"/>
    </row>
    <row r="861">
      <c r="B861" s="18"/>
    </row>
    <row r="862">
      <c r="B862" s="18"/>
    </row>
    <row r="863">
      <c r="B863" s="18"/>
    </row>
    <row r="864">
      <c r="B864" s="18"/>
    </row>
    <row r="865">
      <c r="B865" s="18"/>
    </row>
    <row r="866">
      <c r="B866" s="18"/>
    </row>
    <row r="867">
      <c r="B867" s="18"/>
    </row>
    <row r="868">
      <c r="B868" s="18"/>
    </row>
    <row r="869">
      <c r="B869" s="18"/>
    </row>
    <row r="870">
      <c r="B870" s="18"/>
    </row>
    <row r="871">
      <c r="B871" s="18"/>
    </row>
    <row r="872">
      <c r="B872" s="18"/>
    </row>
    <row r="873">
      <c r="B873" s="18"/>
    </row>
    <row r="874">
      <c r="B874" s="18"/>
    </row>
    <row r="875">
      <c r="B875" s="18"/>
    </row>
    <row r="876">
      <c r="B876" s="18"/>
    </row>
    <row r="877">
      <c r="B877" s="18"/>
    </row>
    <row r="878">
      <c r="B878" s="18"/>
    </row>
    <row r="879">
      <c r="B879" s="18"/>
    </row>
    <row r="880">
      <c r="B880" s="18"/>
    </row>
    <row r="881">
      <c r="B881" s="18"/>
    </row>
    <row r="882">
      <c r="B882" s="18"/>
    </row>
    <row r="883">
      <c r="B883" s="18"/>
    </row>
    <row r="884">
      <c r="B884" s="18"/>
    </row>
    <row r="885">
      <c r="B885" s="18"/>
    </row>
    <row r="886">
      <c r="B886" s="18"/>
    </row>
    <row r="887">
      <c r="B887" s="18"/>
    </row>
    <row r="888">
      <c r="B888" s="18"/>
    </row>
    <row r="889">
      <c r="B889" s="18"/>
    </row>
    <row r="890">
      <c r="B890" s="18"/>
    </row>
    <row r="891">
      <c r="B891" s="18"/>
    </row>
    <row r="892">
      <c r="B892" s="18"/>
    </row>
    <row r="893">
      <c r="B893" s="18"/>
    </row>
    <row r="894">
      <c r="B894" s="18"/>
    </row>
    <row r="895">
      <c r="B895" s="18"/>
    </row>
    <row r="896">
      <c r="B896" s="18"/>
    </row>
    <row r="897">
      <c r="B897" s="18"/>
    </row>
    <row r="898">
      <c r="B898" s="18"/>
    </row>
    <row r="899">
      <c r="B899" s="18"/>
    </row>
    <row r="900">
      <c r="B900" s="18"/>
    </row>
    <row r="901">
      <c r="B901" s="18"/>
    </row>
    <row r="902">
      <c r="B902" s="18"/>
    </row>
    <row r="903">
      <c r="B903" s="18"/>
    </row>
    <row r="904">
      <c r="B904" s="18"/>
    </row>
    <row r="905">
      <c r="B905" s="18"/>
    </row>
    <row r="906">
      <c r="B906" s="18"/>
    </row>
    <row r="907">
      <c r="B907" s="18"/>
    </row>
    <row r="908">
      <c r="B908" s="18"/>
    </row>
    <row r="909">
      <c r="B909" s="18"/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22.25"/>
  </cols>
  <sheetData>
    <row r="1">
      <c r="A1" s="1" t="s">
        <v>1249</v>
      </c>
      <c r="B1" s="1">
        <v>40.0</v>
      </c>
    </row>
    <row r="5">
      <c r="A5" s="1" t="s">
        <v>1250</v>
      </c>
      <c r="B5" s="1">
        <v>20.0</v>
      </c>
    </row>
    <row r="7">
      <c r="A7" s="1"/>
    </row>
    <row r="8">
      <c r="A8" s="1" t="s">
        <v>1252</v>
      </c>
      <c r="B8" s="1">
        <v>30.0</v>
      </c>
    </row>
    <row r="9">
      <c r="A9" s="1" t="s">
        <v>1253</v>
      </c>
      <c r="B9" s="1">
        <v>20.0</v>
      </c>
    </row>
    <row r="10">
      <c r="A10" s="1" t="s">
        <v>1255</v>
      </c>
      <c r="B10" s="1">
        <v>20.0</v>
      </c>
    </row>
    <row r="11">
      <c r="A11" s="1" t="s">
        <v>1256</v>
      </c>
      <c r="B11" s="1">
        <v>20.0</v>
      </c>
    </row>
    <row r="12">
      <c r="A12" s="1" t="s">
        <v>1257</v>
      </c>
      <c r="B12" s="1">
        <v>10.0</v>
      </c>
    </row>
    <row r="15">
      <c r="A15" s="1" t="s">
        <v>1259</v>
      </c>
      <c r="B15" s="1">
        <v>20.0</v>
      </c>
    </row>
    <row r="16">
      <c r="A16" s="1" t="s">
        <v>1260</v>
      </c>
      <c r="B16" s="1">
        <v>40.0</v>
      </c>
    </row>
    <row r="18">
      <c r="A18" s="1" t="s">
        <v>1261</v>
      </c>
      <c r="B18" s="1">
        <v>30.0</v>
      </c>
    </row>
    <row r="19">
      <c r="A19" s="1" t="s">
        <v>1263</v>
      </c>
      <c r="B19" s="1">
        <v>100.0</v>
      </c>
    </row>
    <row r="20">
      <c r="A20" s="1" t="s">
        <v>1264</v>
      </c>
      <c r="B20" s="1">
        <v>30.0</v>
      </c>
    </row>
    <row r="21">
      <c r="A21" s="1" t="s">
        <v>1265</v>
      </c>
      <c r="B21" s="1">
        <v>20.0</v>
      </c>
    </row>
    <row r="22">
      <c r="A22" s="1" t="s">
        <v>1267</v>
      </c>
      <c r="B22" s="1">
        <v>60.0</v>
      </c>
    </row>
    <row r="23">
      <c r="A23" s="1" t="s">
        <v>1268</v>
      </c>
      <c r="B23" s="1">
        <v>40.0</v>
      </c>
    </row>
    <row r="24">
      <c r="A24" s="1" t="s">
        <v>1269</v>
      </c>
      <c r="B24" s="1">
        <v>20.0</v>
      </c>
    </row>
    <row r="25">
      <c r="A25" s="1" t="s">
        <v>1270</v>
      </c>
      <c r="B25" s="1">
        <v>40.0</v>
      </c>
    </row>
    <row r="26">
      <c r="A26" s="1" t="s">
        <v>1271</v>
      </c>
      <c r="B26" s="1">
        <v>10.0</v>
      </c>
    </row>
    <row r="27">
      <c r="A27" s="1" t="s">
        <v>1273</v>
      </c>
      <c r="B27" s="1">
        <v>50.0</v>
      </c>
    </row>
    <row r="28">
      <c r="A28" s="1" t="s">
        <v>1274</v>
      </c>
      <c r="B28" s="1">
        <v>20.0</v>
      </c>
    </row>
    <row r="30">
      <c r="A30" s="1" t="s">
        <v>1275</v>
      </c>
      <c r="B30" s="1">
        <v>10.0</v>
      </c>
    </row>
    <row r="31">
      <c r="A31" s="1" t="s">
        <v>1277</v>
      </c>
      <c r="B31" s="1">
        <v>40.0</v>
      </c>
    </row>
    <row r="32">
      <c r="A32" s="1" t="s">
        <v>1278</v>
      </c>
      <c r="B32" s="1">
        <v>30.0</v>
      </c>
    </row>
    <row r="33">
      <c r="A33" s="1" t="s">
        <v>1279</v>
      </c>
      <c r="B33" s="1">
        <v>20.0</v>
      </c>
    </row>
    <row r="34">
      <c r="A34" s="1" t="s">
        <v>1281</v>
      </c>
      <c r="B34" s="1">
        <v>20.0</v>
      </c>
    </row>
    <row r="35">
      <c r="A35" s="1" t="s">
        <v>1282</v>
      </c>
      <c r="B35" s="1">
        <v>45.0</v>
      </c>
    </row>
    <row r="36">
      <c r="A36" s="1" t="s">
        <v>1283</v>
      </c>
      <c r="B36" s="1">
        <v>20.0</v>
      </c>
    </row>
    <row r="37">
      <c r="A37" s="1" t="s">
        <v>1285</v>
      </c>
      <c r="B37" s="1">
        <v>40.0</v>
      </c>
    </row>
    <row r="38">
      <c r="A38" s="1" t="s">
        <v>1286</v>
      </c>
      <c r="B38" s="1">
        <v>10.0</v>
      </c>
    </row>
  </sheetData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</cols>
  <sheetData>
    <row r="6">
      <c r="A6" s="1" t="s">
        <v>1293</v>
      </c>
      <c r="B6" s="1">
        <v>20.0</v>
      </c>
    </row>
    <row r="7">
      <c r="A7" s="1" t="s">
        <v>1295</v>
      </c>
      <c r="B7" s="1">
        <v>10.0</v>
      </c>
    </row>
    <row r="8">
      <c r="A8" s="1" t="s">
        <v>1297</v>
      </c>
      <c r="B8" s="1">
        <v>30.0</v>
      </c>
    </row>
    <row r="9">
      <c r="A9" s="1" t="s">
        <v>1298</v>
      </c>
      <c r="B9" s="1">
        <v>10.0</v>
      </c>
    </row>
    <row r="11">
      <c r="A11" s="1" t="s">
        <v>1300</v>
      </c>
      <c r="B11" s="1">
        <v>10.0</v>
      </c>
    </row>
    <row r="12">
      <c r="A12" s="1" t="s">
        <v>1301</v>
      </c>
      <c r="B12" s="1">
        <v>30.0</v>
      </c>
    </row>
    <row r="13">
      <c r="A13" s="1" t="s">
        <v>1303</v>
      </c>
      <c r="B13" s="1">
        <v>40.0</v>
      </c>
    </row>
    <row r="14">
      <c r="A14" s="1" t="s">
        <v>1304</v>
      </c>
      <c r="B14" s="1">
        <v>40.0</v>
      </c>
    </row>
    <row r="15">
      <c r="A15" s="1" t="s">
        <v>1306</v>
      </c>
      <c r="B15" s="1">
        <v>20.0</v>
      </c>
    </row>
    <row r="16">
      <c r="A16" s="1" t="s">
        <v>1307</v>
      </c>
      <c r="B16" s="1">
        <v>30.0</v>
      </c>
    </row>
    <row r="17">
      <c r="A17" s="1" t="s">
        <v>1309</v>
      </c>
      <c r="B17" s="1">
        <v>10.0</v>
      </c>
    </row>
  </sheetData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3" max="3" width="25.25"/>
    <col customWidth="1" min="5" max="5" width="18.25"/>
  </cols>
  <sheetData>
    <row r="1">
      <c r="A1" s="1" t="s">
        <v>1312</v>
      </c>
      <c r="B1" s="1">
        <v>10.0</v>
      </c>
    </row>
    <row r="2">
      <c r="A2" s="1" t="s">
        <v>1313</v>
      </c>
      <c r="B2" s="1">
        <v>10.0</v>
      </c>
    </row>
    <row r="3">
      <c r="A3" s="1" t="s">
        <v>1314</v>
      </c>
      <c r="B3" s="1">
        <v>30.0</v>
      </c>
    </row>
    <row r="4">
      <c r="A4" s="1" t="s">
        <v>1315</v>
      </c>
      <c r="B4" s="1">
        <v>40.0</v>
      </c>
    </row>
    <row r="5">
      <c r="A5" s="1" t="s">
        <v>1316</v>
      </c>
      <c r="B5" s="1">
        <v>40.0</v>
      </c>
    </row>
    <row r="6">
      <c r="A6" s="1" t="s">
        <v>1317</v>
      </c>
      <c r="B6" s="1">
        <v>20.0</v>
      </c>
    </row>
    <row r="7">
      <c r="A7" s="1" t="s">
        <v>1318</v>
      </c>
      <c r="B7" s="1">
        <v>40.0</v>
      </c>
    </row>
    <row r="8">
      <c r="A8" s="1" t="s">
        <v>1319</v>
      </c>
      <c r="B8" s="1">
        <v>30.0</v>
      </c>
    </row>
    <row r="9">
      <c r="A9" s="1" t="s">
        <v>1320</v>
      </c>
      <c r="B9" s="1">
        <v>30.0</v>
      </c>
    </row>
    <row r="10">
      <c r="A10" s="1" t="s">
        <v>1321</v>
      </c>
      <c r="B10" s="1">
        <v>40.0</v>
      </c>
    </row>
    <row r="11">
      <c r="A11" s="1" t="s">
        <v>1322</v>
      </c>
      <c r="B11" s="1">
        <v>30.0</v>
      </c>
    </row>
    <row r="12">
      <c r="A12" s="1" t="s">
        <v>1323</v>
      </c>
      <c r="B12" s="1">
        <v>30.0</v>
      </c>
    </row>
    <row r="13">
      <c r="A13" s="1" t="s">
        <v>1324</v>
      </c>
      <c r="B13" s="1">
        <v>30.0</v>
      </c>
    </row>
    <row r="14">
      <c r="A14" s="1" t="s">
        <v>1325</v>
      </c>
      <c r="B14" s="1">
        <v>20.0</v>
      </c>
    </row>
    <row r="15">
      <c r="A15" s="1" t="s">
        <v>1326</v>
      </c>
      <c r="B15" s="1">
        <v>30.0</v>
      </c>
    </row>
    <row r="16">
      <c r="A16" s="1" t="s">
        <v>1327</v>
      </c>
      <c r="B16" s="1">
        <v>10.0</v>
      </c>
    </row>
    <row r="17">
      <c r="A17" s="1" t="s">
        <v>1328</v>
      </c>
      <c r="B17" s="1">
        <v>30.0</v>
      </c>
    </row>
    <row r="19">
      <c r="A19" s="1" t="s">
        <v>1329</v>
      </c>
      <c r="B19" s="1">
        <v>20.0</v>
      </c>
    </row>
    <row r="20">
      <c r="A20" s="1" t="s">
        <v>1330</v>
      </c>
      <c r="B20" s="1">
        <v>20.0</v>
      </c>
    </row>
    <row r="21">
      <c r="A21" s="1" t="s">
        <v>1331</v>
      </c>
      <c r="B21" s="1">
        <v>10.0</v>
      </c>
    </row>
    <row r="22">
      <c r="A22" s="1" t="s">
        <v>1332</v>
      </c>
      <c r="B22" s="1">
        <v>10.0</v>
      </c>
    </row>
    <row r="23">
      <c r="A23" s="1" t="s">
        <v>1333</v>
      </c>
      <c r="B23" s="1">
        <v>30.0</v>
      </c>
    </row>
    <row r="24">
      <c r="A24" s="1" t="s">
        <v>1334</v>
      </c>
      <c r="B24" s="1">
        <v>40.0</v>
      </c>
    </row>
    <row r="25">
      <c r="A25" s="1" t="s">
        <v>1335</v>
      </c>
      <c r="B25" s="1">
        <v>10.0</v>
      </c>
    </row>
    <row r="26">
      <c r="A26" s="1" t="s">
        <v>1336</v>
      </c>
      <c r="B26" s="1">
        <v>10.0</v>
      </c>
    </row>
    <row r="27">
      <c r="A27" s="1" t="s">
        <v>1337</v>
      </c>
      <c r="B27" s="1">
        <v>30.0</v>
      </c>
    </row>
    <row r="28">
      <c r="A28" s="1" t="s">
        <v>1338</v>
      </c>
      <c r="B28" s="1">
        <v>10.0</v>
      </c>
    </row>
    <row r="29">
      <c r="A29" s="1" t="s">
        <v>1339</v>
      </c>
      <c r="B29" s="1">
        <v>10.0</v>
      </c>
    </row>
    <row r="32">
      <c r="A32" s="1" t="s">
        <v>1340</v>
      </c>
      <c r="B32" s="1">
        <v>30.0</v>
      </c>
    </row>
    <row r="33">
      <c r="A33" s="1" t="s">
        <v>1342</v>
      </c>
      <c r="B33" s="1">
        <v>10.0</v>
      </c>
    </row>
    <row r="37">
      <c r="A37" s="1" t="s">
        <v>1343</v>
      </c>
      <c r="B37" s="1">
        <v>10.0</v>
      </c>
    </row>
    <row r="38">
      <c r="A38" s="1" t="s">
        <v>1345</v>
      </c>
      <c r="B38" s="1">
        <v>30.0</v>
      </c>
    </row>
    <row r="39">
      <c r="A39" s="1" t="s">
        <v>1347</v>
      </c>
      <c r="B39" s="1">
        <v>30.0</v>
      </c>
    </row>
    <row r="40">
      <c r="A40" s="1" t="s">
        <v>1349</v>
      </c>
      <c r="B40" s="1">
        <v>10.0</v>
      </c>
    </row>
    <row r="42">
      <c r="A42" s="1" t="s">
        <v>1351</v>
      </c>
      <c r="B42" s="1">
        <v>10.0</v>
      </c>
    </row>
    <row r="44">
      <c r="A44" s="1" t="s">
        <v>1353</v>
      </c>
      <c r="B44" s="1">
        <v>10.0</v>
      </c>
    </row>
    <row r="45">
      <c r="A45" s="1" t="s">
        <v>1355</v>
      </c>
      <c r="B45" s="1">
        <v>10.0</v>
      </c>
    </row>
    <row r="46">
      <c r="A46" s="1" t="s">
        <v>1357</v>
      </c>
      <c r="B46" s="1">
        <v>30.0</v>
      </c>
    </row>
    <row r="49">
      <c r="A49" s="1" t="s">
        <v>1358</v>
      </c>
      <c r="B49" s="1">
        <v>20.0</v>
      </c>
    </row>
    <row r="50">
      <c r="A50" s="1" t="s">
        <v>1360</v>
      </c>
      <c r="B50" s="1">
        <v>30.0</v>
      </c>
    </row>
    <row r="51">
      <c r="A51" s="1" t="s">
        <v>1362</v>
      </c>
      <c r="B51" s="1">
        <v>10.0</v>
      </c>
    </row>
    <row r="52">
      <c r="A52" s="1" t="s">
        <v>1363</v>
      </c>
      <c r="B52" s="1">
        <v>40.0</v>
      </c>
    </row>
    <row r="53">
      <c r="A53" s="1" t="s">
        <v>1365</v>
      </c>
      <c r="B53" s="1">
        <v>30.0</v>
      </c>
    </row>
    <row r="54">
      <c r="A54" s="1" t="s">
        <v>1368</v>
      </c>
      <c r="B54" s="1">
        <v>20.0</v>
      </c>
    </row>
    <row r="55">
      <c r="A55" s="1" t="s">
        <v>1370</v>
      </c>
      <c r="B55" s="1">
        <v>20.0</v>
      </c>
    </row>
    <row r="56">
      <c r="A56" s="1" t="s">
        <v>1372</v>
      </c>
      <c r="B56" s="1">
        <v>10.0</v>
      </c>
    </row>
    <row r="57">
      <c r="A57" s="1" t="s">
        <v>1374</v>
      </c>
      <c r="B57" s="1">
        <v>30.0</v>
      </c>
    </row>
    <row r="58">
      <c r="A58" s="1" t="s">
        <v>1376</v>
      </c>
      <c r="B58" s="1">
        <v>20.0</v>
      </c>
    </row>
    <row r="59">
      <c r="A59" s="1" t="s">
        <v>1378</v>
      </c>
      <c r="B59" s="1">
        <v>30.0</v>
      </c>
    </row>
    <row r="60">
      <c r="A60" s="1" t="s">
        <v>1380</v>
      </c>
      <c r="B60" s="1">
        <v>10.0</v>
      </c>
    </row>
    <row r="61">
      <c r="A61" s="1" t="s">
        <v>1382</v>
      </c>
      <c r="B61" s="1">
        <v>40.0</v>
      </c>
    </row>
    <row r="62">
      <c r="A62" s="1" t="s">
        <v>1384</v>
      </c>
      <c r="B62" s="1">
        <v>20.0</v>
      </c>
    </row>
    <row r="63">
      <c r="A63" s="1" t="s">
        <v>1386</v>
      </c>
      <c r="B63" s="1">
        <v>40.0</v>
      </c>
    </row>
    <row r="64">
      <c r="A64" s="1" t="s">
        <v>1388</v>
      </c>
      <c r="B64" s="1">
        <v>10.0</v>
      </c>
    </row>
    <row r="65">
      <c r="A65" s="1" t="s">
        <v>1390</v>
      </c>
      <c r="B65" s="1">
        <v>40.0</v>
      </c>
    </row>
    <row r="66">
      <c r="A66" s="1" t="s">
        <v>1392</v>
      </c>
      <c r="B66" s="1">
        <v>40.0</v>
      </c>
    </row>
    <row r="67">
      <c r="A67" s="1" t="s">
        <v>1394</v>
      </c>
      <c r="B67" s="1">
        <v>40.0</v>
      </c>
    </row>
    <row r="68">
      <c r="A68" s="1" t="s">
        <v>1396</v>
      </c>
      <c r="B68" s="1">
        <v>40.0</v>
      </c>
    </row>
    <row r="70">
      <c r="A70" s="1"/>
      <c r="B70" s="1"/>
    </row>
    <row r="71">
      <c r="A71" s="1" t="s">
        <v>1399</v>
      </c>
      <c r="B71" s="1">
        <v>30.0</v>
      </c>
    </row>
    <row r="72">
      <c r="A72" s="1" t="s">
        <v>1402</v>
      </c>
      <c r="B72" s="1">
        <v>20.0</v>
      </c>
    </row>
    <row r="73">
      <c r="A73" s="1" t="s">
        <v>1404</v>
      </c>
      <c r="B73" s="1">
        <v>30.0</v>
      </c>
    </row>
    <row r="74">
      <c r="A74" s="1" t="s">
        <v>1407</v>
      </c>
      <c r="B74" s="1">
        <v>30.0</v>
      </c>
    </row>
    <row r="75">
      <c r="A75" s="1"/>
      <c r="B75" s="1"/>
    </row>
  </sheetData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3" max="3" width="26.13"/>
  </cols>
  <sheetData>
    <row r="1">
      <c r="A1" s="1" t="s">
        <v>1341</v>
      </c>
      <c r="B1" s="1">
        <v>30.0</v>
      </c>
    </row>
    <row r="2">
      <c r="A2" s="1" t="s">
        <v>1344</v>
      </c>
      <c r="B2" s="1">
        <v>30.0</v>
      </c>
    </row>
    <row r="3">
      <c r="A3" s="1" t="s">
        <v>1346</v>
      </c>
      <c r="B3" s="1">
        <v>20.0</v>
      </c>
    </row>
    <row r="4">
      <c r="A4" s="1" t="s">
        <v>1348</v>
      </c>
      <c r="B4" s="1">
        <v>40.0</v>
      </c>
    </row>
    <row r="5">
      <c r="A5" s="1" t="s">
        <v>1350</v>
      </c>
      <c r="B5" s="1">
        <v>20.0</v>
      </c>
    </row>
    <row r="6">
      <c r="A6" s="1" t="s">
        <v>1352</v>
      </c>
      <c r="B6" s="1">
        <v>20.0</v>
      </c>
    </row>
    <row r="7">
      <c r="A7" s="1" t="s">
        <v>1354</v>
      </c>
      <c r="B7" s="1">
        <v>20.0</v>
      </c>
    </row>
    <row r="8">
      <c r="A8" s="1" t="s">
        <v>1356</v>
      </c>
      <c r="B8" s="1">
        <v>10.0</v>
      </c>
    </row>
    <row r="9">
      <c r="A9" s="1" t="s">
        <v>1359</v>
      </c>
      <c r="B9" s="1">
        <v>20.0</v>
      </c>
    </row>
    <row r="10">
      <c r="A10" s="1" t="s">
        <v>1361</v>
      </c>
      <c r="B10" s="1">
        <v>40.0</v>
      </c>
    </row>
    <row r="11">
      <c r="A11" s="1"/>
      <c r="B11" s="1"/>
    </row>
    <row r="13">
      <c r="A13" s="1" t="s">
        <v>1364</v>
      </c>
      <c r="B13" s="1">
        <v>20.0</v>
      </c>
    </row>
    <row r="14">
      <c r="A14" s="1" t="s">
        <v>1366</v>
      </c>
      <c r="B14" s="1">
        <v>20.0</v>
      </c>
    </row>
    <row r="15">
      <c r="A15" s="1" t="s">
        <v>1367</v>
      </c>
      <c r="B15" s="1">
        <v>20.0</v>
      </c>
    </row>
    <row r="16">
      <c r="A16" s="1" t="s">
        <v>1369</v>
      </c>
      <c r="B16" s="1">
        <v>10.0</v>
      </c>
    </row>
    <row r="17">
      <c r="A17" s="1" t="s">
        <v>1371</v>
      </c>
      <c r="B17" s="1">
        <v>10.0</v>
      </c>
    </row>
    <row r="18">
      <c r="A18" s="1" t="s">
        <v>1373</v>
      </c>
      <c r="B18" s="1">
        <v>30.0</v>
      </c>
    </row>
    <row r="19">
      <c r="A19" s="1" t="s">
        <v>1375</v>
      </c>
      <c r="B19" s="1">
        <v>30.0</v>
      </c>
    </row>
    <row r="20">
      <c r="A20" s="1" t="s">
        <v>1377</v>
      </c>
      <c r="B20" s="1">
        <v>20.0</v>
      </c>
    </row>
    <row r="21">
      <c r="A21" s="1" t="s">
        <v>1379</v>
      </c>
      <c r="B21" s="1">
        <v>30.0</v>
      </c>
    </row>
    <row r="22">
      <c r="A22" s="1" t="s">
        <v>1381</v>
      </c>
      <c r="B22" s="1">
        <v>40.0</v>
      </c>
    </row>
    <row r="23">
      <c r="A23" s="1" t="s">
        <v>1383</v>
      </c>
      <c r="B23" s="1">
        <v>10.0</v>
      </c>
    </row>
    <row r="24">
      <c r="A24" s="1" t="s">
        <v>1385</v>
      </c>
      <c r="B24" s="1">
        <v>10.0</v>
      </c>
    </row>
    <row r="25">
      <c r="A25" s="1" t="s">
        <v>1387</v>
      </c>
      <c r="B25" s="1">
        <v>10.0</v>
      </c>
    </row>
    <row r="26">
      <c r="A26" s="1"/>
      <c r="B26" s="1"/>
    </row>
    <row r="27">
      <c r="A27" s="1" t="s">
        <v>1389</v>
      </c>
      <c r="B27" s="1">
        <v>10.0</v>
      </c>
    </row>
    <row r="28">
      <c r="A28" s="1" t="s">
        <v>1391</v>
      </c>
      <c r="B28" s="1">
        <v>10.0</v>
      </c>
    </row>
    <row r="29">
      <c r="A29" s="1" t="s">
        <v>1393</v>
      </c>
      <c r="B29" s="1">
        <v>30.0</v>
      </c>
    </row>
    <row r="30">
      <c r="A30" s="1" t="s">
        <v>1395</v>
      </c>
      <c r="B30" s="1">
        <v>20.0</v>
      </c>
    </row>
    <row r="31">
      <c r="A31" s="1" t="s">
        <v>1397</v>
      </c>
      <c r="B31" s="1">
        <v>20.0</v>
      </c>
    </row>
    <row r="32">
      <c r="A32" s="1" t="s">
        <v>1398</v>
      </c>
      <c r="B32" s="1">
        <v>30.0</v>
      </c>
    </row>
    <row r="33">
      <c r="A33" s="1" t="s">
        <v>1400</v>
      </c>
      <c r="B33" s="1">
        <v>20.0</v>
      </c>
    </row>
    <row r="34">
      <c r="A34" s="1" t="s">
        <v>1403</v>
      </c>
      <c r="B34" s="1">
        <v>40.0</v>
      </c>
    </row>
    <row r="35">
      <c r="A35" s="1" t="s">
        <v>1405</v>
      </c>
      <c r="B35" s="1">
        <v>40.0</v>
      </c>
    </row>
    <row r="36">
      <c r="A36" s="1" t="s">
        <v>1408</v>
      </c>
      <c r="B36" s="1">
        <v>40.0</v>
      </c>
    </row>
    <row r="37">
      <c r="A37" s="1" t="s">
        <v>1410</v>
      </c>
      <c r="B37" s="1">
        <v>30.0</v>
      </c>
    </row>
    <row r="70">
      <c r="A70" s="1"/>
      <c r="B70" s="1"/>
    </row>
    <row r="89">
      <c r="A89" s="1"/>
      <c r="B89" s="1"/>
    </row>
    <row r="102">
      <c r="A102" s="1"/>
      <c r="B102" s="1"/>
    </row>
  </sheetData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</cols>
  <sheetData>
    <row r="1">
      <c r="A1" s="1" t="s">
        <v>1401</v>
      </c>
      <c r="B1" s="1">
        <v>16.0</v>
      </c>
    </row>
    <row r="2">
      <c r="A2" s="1" t="s">
        <v>1406</v>
      </c>
      <c r="B2" s="1">
        <v>7.0</v>
      </c>
    </row>
    <row r="3">
      <c r="A3" s="1" t="s">
        <v>1409</v>
      </c>
      <c r="B3" s="1">
        <v>12.0</v>
      </c>
    </row>
    <row r="4">
      <c r="A4" s="1" t="s">
        <v>1411</v>
      </c>
      <c r="B4" s="1">
        <v>19.0</v>
      </c>
    </row>
    <row r="5">
      <c r="A5" s="1" t="s">
        <v>1412</v>
      </c>
      <c r="B5" s="1">
        <v>7.0</v>
      </c>
    </row>
    <row r="6">
      <c r="A6" s="1" t="s">
        <v>1413</v>
      </c>
      <c r="B6" s="1">
        <v>22.0</v>
      </c>
    </row>
    <row r="8">
      <c r="A8" s="1" t="s">
        <v>1414</v>
      </c>
      <c r="B8" s="1">
        <v>8.0</v>
      </c>
    </row>
    <row r="9">
      <c r="A9" s="1" t="s">
        <v>1415</v>
      </c>
      <c r="B9" s="1">
        <v>10.0</v>
      </c>
    </row>
    <row r="10">
      <c r="A10" s="1" t="s">
        <v>1416</v>
      </c>
      <c r="B10" s="1">
        <v>41.0</v>
      </c>
    </row>
    <row r="11">
      <c r="A11" s="1" t="s">
        <v>1417</v>
      </c>
      <c r="B11" s="1">
        <v>20.0</v>
      </c>
    </row>
    <row r="12">
      <c r="A12" s="1" t="s">
        <v>1418</v>
      </c>
      <c r="B12" s="1">
        <v>30.0</v>
      </c>
    </row>
    <row r="13">
      <c r="A13" s="1" t="s">
        <v>1419</v>
      </c>
      <c r="B13" s="1">
        <v>11.0</v>
      </c>
    </row>
    <row r="14">
      <c r="A14" s="1" t="s">
        <v>1420</v>
      </c>
      <c r="B14" s="1">
        <v>16.0</v>
      </c>
    </row>
    <row r="15">
      <c r="A15" s="1" t="s">
        <v>1421</v>
      </c>
      <c r="B15" s="1">
        <v>9.0</v>
      </c>
    </row>
    <row r="16">
      <c r="A16" s="1" t="s">
        <v>1422</v>
      </c>
      <c r="B16" s="1">
        <v>31.0</v>
      </c>
    </row>
    <row r="17">
      <c r="A17" s="1" t="s">
        <v>1423</v>
      </c>
      <c r="B17" s="1">
        <v>29.0</v>
      </c>
    </row>
    <row r="18">
      <c r="A18" s="1" t="s">
        <v>1424</v>
      </c>
      <c r="B18" s="1">
        <v>10.0</v>
      </c>
    </row>
    <row r="19">
      <c r="A19" s="1" t="s">
        <v>1425</v>
      </c>
      <c r="B19" s="1">
        <v>10.0</v>
      </c>
    </row>
    <row r="20">
      <c r="A20" s="1" t="s">
        <v>1426</v>
      </c>
      <c r="B20" s="1">
        <v>15.0</v>
      </c>
    </row>
    <row r="21">
      <c r="A21" s="1" t="s">
        <v>1427</v>
      </c>
      <c r="B21" s="1">
        <v>38.0</v>
      </c>
    </row>
    <row r="22">
      <c r="A22" s="1" t="s">
        <v>1428</v>
      </c>
      <c r="B22" s="1">
        <v>26.0</v>
      </c>
    </row>
    <row r="23">
      <c r="A23" s="1" t="s">
        <v>1429</v>
      </c>
      <c r="B23" s="1">
        <v>30.0</v>
      </c>
    </row>
    <row r="24">
      <c r="A24" s="1" t="s">
        <v>1430</v>
      </c>
      <c r="B24" s="1">
        <v>30.0</v>
      </c>
    </row>
    <row r="25">
      <c r="A25" s="1" t="s">
        <v>1431</v>
      </c>
      <c r="B25" s="1">
        <v>20.0</v>
      </c>
    </row>
    <row r="26">
      <c r="A26" s="1" t="s">
        <v>1432</v>
      </c>
      <c r="B26" s="1">
        <v>33.0</v>
      </c>
    </row>
    <row r="27">
      <c r="A27" s="1" t="s">
        <v>1433</v>
      </c>
      <c r="B27" s="1">
        <v>19.0</v>
      </c>
    </row>
    <row r="28">
      <c r="A28" s="1" t="s">
        <v>1434</v>
      </c>
      <c r="B28" s="1">
        <v>30.0</v>
      </c>
    </row>
    <row r="29">
      <c r="A29" s="1" t="s">
        <v>1435</v>
      </c>
      <c r="B29" s="1">
        <v>37.0</v>
      </c>
    </row>
    <row r="30">
      <c r="A30" s="1" t="s">
        <v>1436</v>
      </c>
      <c r="B30" s="1">
        <v>13.0</v>
      </c>
    </row>
  </sheetData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18.0"/>
    <col customWidth="1" min="3" max="3" width="24.88"/>
    <col customWidth="1" min="5" max="5" width="19.13"/>
  </cols>
  <sheetData>
    <row r="1">
      <c r="A1" s="1" t="s">
        <v>1437</v>
      </c>
      <c r="B1" s="1">
        <v>65.0</v>
      </c>
    </row>
    <row r="2">
      <c r="A2" s="1" t="s">
        <v>1438</v>
      </c>
      <c r="B2" s="1">
        <v>85.0</v>
      </c>
    </row>
    <row r="3">
      <c r="A3" s="1" t="s">
        <v>1439</v>
      </c>
      <c r="B3" s="1">
        <v>15.0</v>
      </c>
    </row>
    <row r="4">
      <c r="A4" s="1"/>
      <c r="B4" s="1"/>
    </row>
    <row r="5">
      <c r="A5" s="1" t="s">
        <v>1440</v>
      </c>
      <c r="B5" s="1">
        <v>160.0</v>
      </c>
    </row>
    <row r="7">
      <c r="A7" s="1" t="s">
        <v>1441</v>
      </c>
      <c r="B7" s="1">
        <v>180.0</v>
      </c>
    </row>
    <row r="9">
      <c r="A9" s="1" t="s">
        <v>1442</v>
      </c>
      <c r="B9" s="1">
        <v>100.0</v>
      </c>
      <c r="C9" s="1" t="s">
        <v>1081</v>
      </c>
    </row>
    <row r="10">
      <c r="A10" s="1" t="s">
        <v>1444</v>
      </c>
      <c r="B10" s="1">
        <v>180.0</v>
      </c>
    </row>
    <row r="11">
      <c r="A11" s="1" t="s">
        <v>1445</v>
      </c>
      <c r="B11" s="1">
        <v>160.0</v>
      </c>
    </row>
    <row r="12">
      <c r="A12" s="1"/>
      <c r="B12" s="1"/>
    </row>
    <row r="13">
      <c r="A13" s="1" t="s">
        <v>1447</v>
      </c>
      <c r="B13" s="1">
        <v>50.0</v>
      </c>
      <c r="C13" s="1" t="s">
        <v>1060</v>
      </c>
    </row>
    <row r="14">
      <c r="A14" s="1" t="s">
        <v>1449</v>
      </c>
      <c r="B14" s="1">
        <v>140.0</v>
      </c>
    </row>
    <row r="15">
      <c r="A15" s="1" t="s">
        <v>1450</v>
      </c>
      <c r="B15" s="1">
        <v>180.0</v>
      </c>
    </row>
  </sheetData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3" max="3" width="25.63"/>
    <col customWidth="1" min="4" max="4" width="24.0"/>
    <col customWidth="1" min="5" max="5" width="24.25"/>
  </cols>
  <sheetData>
    <row r="4">
      <c r="C4" s="1"/>
      <c r="D4" s="1"/>
    </row>
    <row r="9">
      <c r="A9" s="1" t="s">
        <v>1443</v>
      </c>
      <c r="B9" s="1">
        <v>100.0</v>
      </c>
    </row>
    <row r="10">
      <c r="A10" s="1" t="s">
        <v>1446</v>
      </c>
      <c r="B10" s="1">
        <v>30.0</v>
      </c>
    </row>
    <row r="12">
      <c r="A12" s="1" t="s">
        <v>1448</v>
      </c>
      <c r="B12" s="1">
        <v>61.0</v>
      </c>
    </row>
    <row r="20">
      <c r="A20" s="1" t="s">
        <v>1451</v>
      </c>
      <c r="B20" s="1">
        <v>27.0</v>
      </c>
    </row>
    <row r="21">
      <c r="A21" s="1" t="s">
        <v>1452</v>
      </c>
      <c r="B21" s="1">
        <v>31.0</v>
      </c>
    </row>
    <row r="22">
      <c r="A22" s="1" t="s">
        <v>1453</v>
      </c>
      <c r="B22" s="1">
        <v>5.0</v>
      </c>
    </row>
    <row r="23">
      <c r="A23" s="1" t="s">
        <v>1454</v>
      </c>
      <c r="B23" s="1">
        <v>31.0</v>
      </c>
    </row>
    <row r="25">
      <c r="A25" s="1" t="s">
        <v>1455</v>
      </c>
      <c r="B25" s="1">
        <v>26.0</v>
      </c>
    </row>
    <row r="27">
      <c r="A27" s="1" t="s">
        <v>1456</v>
      </c>
      <c r="B27" s="1">
        <v>16.0</v>
      </c>
    </row>
    <row r="28">
      <c r="A28" s="1" t="s">
        <v>1457</v>
      </c>
      <c r="B28" s="1">
        <v>20.0</v>
      </c>
    </row>
    <row r="29">
      <c r="A29" s="1" t="s">
        <v>1458</v>
      </c>
      <c r="B29" s="1">
        <v>17.0</v>
      </c>
    </row>
    <row r="30">
      <c r="A30" s="1" t="s">
        <v>1459</v>
      </c>
      <c r="B30" s="1">
        <v>29.0</v>
      </c>
    </row>
    <row r="32">
      <c r="A32" s="1" t="s">
        <v>1460</v>
      </c>
      <c r="B32" s="1">
        <v>20.0</v>
      </c>
    </row>
    <row r="33">
      <c r="A33" s="1" t="s">
        <v>1461</v>
      </c>
      <c r="B33" s="1">
        <v>10.0</v>
      </c>
    </row>
  </sheetData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</cols>
  <sheetData>
    <row r="4">
      <c r="A4" s="1" t="s">
        <v>1462</v>
      </c>
      <c r="B4" s="1">
        <v>30.0</v>
      </c>
    </row>
    <row r="5">
      <c r="A5" s="1" t="s">
        <v>1463</v>
      </c>
      <c r="B5" s="1">
        <v>20.0</v>
      </c>
    </row>
    <row r="6">
      <c r="A6" s="1" t="s">
        <v>1464</v>
      </c>
      <c r="B6" s="1">
        <v>30.0</v>
      </c>
    </row>
    <row r="8">
      <c r="A8" s="1" t="s">
        <v>1465</v>
      </c>
      <c r="B8" s="1">
        <v>30.0</v>
      </c>
    </row>
    <row r="9">
      <c r="A9" s="1" t="s">
        <v>1466</v>
      </c>
      <c r="B9" s="1">
        <v>10.0</v>
      </c>
    </row>
    <row r="10">
      <c r="A10" s="1" t="s">
        <v>1467</v>
      </c>
      <c r="B10" s="1">
        <v>20.0</v>
      </c>
    </row>
    <row r="11">
      <c r="A11" s="1" t="s">
        <v>1468</v>
      </c>
      <c r="B11" s="1">
        <v>20.0</v>
      </c>
    </row>
    <row r="12">
      <c r="A12" s="1" t="s">
        <v>1469</v>
      </c>
      <c r="B12" s="1">
        <v>20.0</v>
      </c>
    </row>
    <row r="13">
      <c r="A13" s="1" t="s">
        <v>1470</v>
      </c>
      <c r="B13" s="1">
        <v>30.0</v>
      </c>
    </row>
    <row r="14">
      <c r="A14" s="1" t="s">
        <v>1471</v>
      </c>
      <c r="B14" s="1">
        <v>30.0</v>
      </c>
    </row>
    <row r="15">
      <c r="A15" s="1" t="s">
        <v>1472</v>
      </c>
      <c r="B15" s="1">
        <v>30.0</v>
      </c>
    </row>
    <row r="16">
      <c r="A16" s="1" t="s">
        <v>1473</v>
      </c>
      <c r="B16" s="1">
        <v>40.0</v>
      </c>
    </row>
    <row r="17">
      <c r="A17" s="1" t="s">
        <v>1474</v>
      </c>
      <c r="B17" s="1">
        <v>30.0</v>
      </c>
    </row>
    <row r="18">
      <c r="A18" s="1" t="s">
        <v>1475</v>
      </c>
      <c r="B18" s="1">
        <v>30.0</v>
      </c>
    </row>
    <row r="19">
      <c r="A19" s="1" t="s">
        <v>1476</v>
      </c>
      <c r="B19" s="1">
        <v>10.0</v>
      </c>
    </row>
    <row r="20">
      <c r="A20" s="1" t="s">
        <v>1477</v>
      </c>
      <c r="B20" s="1">
        <v>20.0</v>
      </c>
    </row>
    <row r="21">
      <c r="A21" s="1" t="s">
        <v>1478</v>
      </c>
      <c r="B21" s="1">
        <v>10.0</v>
      </c>
    </row>
    <row r="22">
      <c r="A22" s="1" t="s">
        <v>1479</v>
      </c>
      <c r="B22" s="1">
        <v>10.0</v>
      </c>
    </row>
    <row r="23">
      <c r="A23" s="1" t="s">
        <v>1480</v>
      </c>
      <c r="B23" s="1">
        <v>30.0</v>
      </c>
    </row>
    <row r="24">
      <c r="A24" s="1" t="s">
        <v>1481</v>
      </c>
      <c r="B24" s="1">
        <v>30.0</v>
      </c>
    </row>
    <row r="25">
      <c r="A25" s="1" t="s">
        <v>1482</v>
      </c>
      <c r="B25" s="1">
        <v>30.0</v>
      </c>
    </row>
    <row r="26">
      <c r="A26" s="1" t="s">
        <v>1483</v>
      </c>
      <c r="B26" s="1">
        <v>20.0</v>
      </c>
    </row>
    <row r="27">
      <c r="A27" s="1" t="s">
        <v>1484</v>
      </c>
      <c r="B27" s="1">
        <v>30.0</v>
      </c>
    </row>
    <row r="28">
      <c r="A28" s="1" t="s">
        <v>1485</v>
      </c>
      <c r="B28" s="1">
        <v>20.0</v>
      </c>
    </row>
    <row r="29">
      <c r="A29" s="1" t="s">
        <v>1486</v>
      </c>
      <c r="B29" s="1">
        <v>20.0</v>
      </c>
    </row>
    <row r="30">
      <c r="A30" s="1" t="s">
        <v>1487</v>
      </c>
      <c r="B30" s="1">
        <v>20.0</v>
      </c>
    </row>
    <row r="31">
      <c r="A31" s="1" t="s">
        <v>1488</v>
      </c>
      <c r="B31" s="1">
        <v>20.0</v>
      </c>
    </row>
    <row r="32">
      <c r="A32" s="1" t="s">
        <v>1489</v>
      </c>
      <c r="B32" s="1">
        <v>10.0</v>
      </c>
    </row>
    <row r="33">
      <c r="A33" s="1" t="s">
        <v>1490</v>
      </c>
      <c r="B33" s="1">
        <v>40.0</v>
      </c>
    </row>
    <row r="34">
      <c r="A34" s="1" t="s">
        <v>1492</v>
      </c>
      <c r="B34" s="1">
        <v>30.0</v>
      </c>
    </row>
    <row r="35">
      <c r="A35" s="1" t="s">
        <v>1494</v>
      </c>
      <c r="B35" s="1">
        <v>30.0</v>
      </c>
    </row>
    <row r="36">
      <c r="A36" s="1" t="s">
        <v>1496</v>
      </c>
      <c r="B36" s="1">
        <v>40.0</v>
      </c>
    </row>
    <row r="37">
      <c r="A37" s="1" t="s">
        <v>1498</v>
      </c>
      <c r="B37" s="1">
        <v>30.0</v>
      </c>
    </row>
    <row r="38">
      <c r="A38" s="1" t="s">
        <v>1500</v>
      </c>
      <c r="B38" s="1">
        <v>40.0</v>
      </c>
    </row>
    <row r="39">
      <c r="A39" s="1" t="s">
        <v>1502</v>
      </c>
      <c r="B39" s="1">
        <v>30.0</v>
      </c>
    </row>
    <row r="41">
      <c r="A41" s="1" t="s">
        <v>1504</v>
      </c>
      <c r="B41" s="1">
        <v>20.0</v>
      </c>
    </row>
    <row r="42">
      <c r="A42" s="1" t="s">
        <v>1506</v>
      </c>
      <c r="B42" s="1">
        <v>30.0</v>
      </c>
    </row>
    <row r="43">
      <c r="A43" s="1" t="s">
        <v>1508</v>
      </c>
      <c r="B43" s="1">
        <v>10.0</v>
      </c>
    </row>
    <row r="44">
      <c r="A44" s="1" t="s">
        <v>1510</v>
      </c>
      <c r="B44" s="1">
        <v>30.0</v>
      </c>
    </row>
    <row r="45">
      <c r="A45" s="1" t="s">
        <v>1512</v>
      </c>
      <c r="B45" s="1">
        <v>30.0</v>
      </c>
    </row>
  </sheetData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3" max="3" width="34.38"/>
    <col customWidth="1" min="4" max="4" width="25.25"/>
    <col customWidth="1" min="5" max="5" width="35.0"/>
    <col customWidth="1" min="6" max="6" width="23.25"/>
    <col customWidth="1" min="7" max="7" width="23.13"/>
  </cols>
  <sheetData>
    <row r="1">
      <c r="A1" s="1" t="s">
        <v>1491</v>
      </c>
      <c r="B1" s="1">
        <v>150.0</v>
      </c>
    </row>
    <row r="2">
      <c r="A2" s="1" t="s">
        <v>1493</v>
      </c>
      <c r="B2" s="1">
        <v>50.0</v>
      </c>
    </row>
    <row r="3">
      <c r="A3" s="1" t="s">
        <v>1495</v>
      </c>
      <c r="B3" s="1">
        <v>100.0</v>
      </c>
    </row>
    <row r="4">
      <c r="A4" s="1" t="s">
        <v>1497</v>
      </c>
      <c r="B4" s="1">
        <v>50.0</v>
      </c>
    </row>
    <row r="5">
      <c r="A5" s="1" t="s">
        <v>1499</v>
      </c>
      <c r="B5" s="1">
        <v>80.0</v>
      </c>
    </row>
    <row r="6">
      <c r="A6" s="1" t="s">
        <v>1501</v>
      </c>
      <c r="B6" s="1">
        <v>150.0</v>
      </c>
    </row>
    <row r="7">
      <c r="A7" s="1" t="s">
        <v>1503</v>
      </c>
      <c r="B7" s="1">
        <v>50.0</v>
      </c>
    </row>
    <row r="8">
      <c r="A8" s="1" t="s">
        <v>1505</v>
      </c>
      <c r="B8" s="1">
        <v>100.0</v>
      </c>
    </row>
    <row r="9">
      <c r="A9" s="1" t="s">
        <v>1507</v>
      </c>
      <c r="B9" s="1">
        <v>50.0</v>
      </c>
    </row>
    <row r="10">
      <c r="A10" s="1" t="s">
        <v>1509</v>
      </c>
      <c r="B10" s="1">
        <v>30.0</v>
      </c>
    </row>
    <row r="11">
      <c r="A11" s="1" t="s">
        <v>1511</v>
      </c>
      <c r="B11" s="1">
        <v>10.0</v>
      </c>
    </row>
    <row r="12">
      <c r="A12" s="1" t="s">
        <v>1513</v>
      </c>
      <c r="B12" s="1">
        <v>10.0</v>
      </c>
    </row>
    <row r="13">
      <c r="A13" s="1" t="s">
        <v>1514</v>
      </c>
      <c r="B13" s="1">
        <v>20.0</v>
      </c>
    </row>
    <row r="14">
      <c r="A14" s="1" t="s">
        <v>1515</v>
      </c>
      <c r="B14" s="1">
        <v>60.0</v>
      </c>
    </row>
    <row r="15">
      <c r="A15" s="1" t="s">
        <v>1516</v>
      </c>
      <c r="B15" s="1">
        <v>80.0</v>
      </c>
      <c r="E15" s="54"/>
      <c r="F15" s="54"/>
      <c r="G15" s="81"/>
    </row>
    <row r="16">
      <c r="A16" s="1" t="s">
        <v>1517</v>
      </c>
      <c r="B16" s="1">
        <v>100.0</v>
      </c>
      <c r="E16" s="54"/>
      <c r="F16" s="54"/>
      <c r="G16" s="81"/>
    </row>
    <row r="17">
      <c r="A17" s="1" t="s">
        <v>1518</v>
      </c>
      <c r="B17" s="1">
        <v>60.0</v>
      </c>
      <c r="E17" s="54"/>
      <c r="F17" s="54"/>
      <c r="G17" s="81"/>
    </row>
    <row r="18">
      <c r="A18" s="1" t="s">
        <v>1519</v>
      </c>
      <c r="B18" s="1">
        <v>120.0</v>
      </c>
      <c r="E18" s="54"/>
      <c r="F18" s="54"/>
      <c r="G18" s="81"/>
    </row>
    <row r="19">
      <c r="A19" s="54" t="s">
        <v>1520</v>
      </c>
      <c r="B19" s="1">
        <v>50.0</v>
      </c>
    </row>
    <row r="20">
      <c r="A20" s="54" t="s">
        <v>1521</v>
      </c>
      <c r="B20" s="1">
        <v>50.0</v>
      </c>
    </row>
    <row r="21">
      <c r="A21" s="54" t="s">
        <v>1523</v>
      </c>
      <c r="B21" s="1">
        <v>50.0</v>
      </c>
    </row>
    <row r="22">
      <c r="A22" s="1" t="s">
        <v>1524</v>
      </c>
      <c r="B22" s="1">
        <v>30.0</v>
      </c>
      <c r="E22" s="54"/>
      <c r="F22" s="54"/>
      <c r="G22" s="81"/>
    </row>
    <row r="23">
      <c r="A23" s="1" t="s">
        <v>1525</v>
      </c>
      <c r="B23" s="1">
        <v>50.0</v>
      </c>
      <c r="E23" s="54"/>
      <c r="F23" s="54"/>
      <c r="G23" s="81"/>
    </row>
    <row r="24">
      <c r="A24" s="1" t="s">
        <v>1526</v>
      </c>
      <c r="B24" s="1">
        <v>70.0</v>
      </c>
      <c r="E24" s="54"/>
      <c r="F24" s="54"/>
      <c r="G24" s="81"/>
    </row>
    <row r="25">
      <c r="A25" s="1" t="s">
        <v>1527</v>
      </c>
      <c r="B25" s="1">
        <v>100.0</v>
      </c>
      <c r="E25" s="54"/>
      <c r="F25" s="54"/>
      <c r="G25" s="81"/>
    </row>
    <row r="26">
      <c r="A26" s="1" t="s">
        <v>1529</v>
      </c>
      <c r="B26" s="1">
        <v>50.0</v>
      </c>
      <c r="E26" s="54"/>
      <c r="F26" s="54"/>
      <c r="G26" s="81"/>
    </row>
    <row r="27">
      <c r="A27" s="1" t="s">
        <v>1531</v>
      </c>
      <c r="B27" s="1">
        <v>20.0</v>
      </c>
      <c r="E27" s="54"/>
      <c r="F27" s="54"/>
      <c r="G27" s="81"/>
    </row>
    <row r="28">
      <c r="A28" s="1" t="s">
        <v>1533</v>
      </c>
      <c r="B28" s="1">
        <v>20.0</v>
      </c>
      <c r="E28" s="54"/>
      <c r="F28" s="54"/>
      <c r="G28" s="80"/>
    </row>
    <row r="29">
      <c r="A29" s="1" t="s">
        <v>1535</v>
      </c>
      <c r="B29" s="1">
        <v>90.0</v>
      </c>
      <c r="E29" s="54"/>
      <c r="F29" s="54"/>
      <c r="G29" s="81"/>
    </row>
    <row r="30">
      <c r="A30" s="1" t="s">
        <v>1536</v>
      </c>
      <c r="B30" s="1">
        <v>10.0</v>
      </c>
      <c r="E30" s="54"/>
      <c r="F30" s="54"/>
      <c r="G30" s="80"/>
    </row>
    <row r="31">
      <c r="A31" s="54" t="s">
        <v>1536</v>
      </c>
      <c r="B31" s="1">
        <v>50.0</v>
      </c>
    </row>
    <row r="32">
      <c r="A32" s="1" t="s">
        <v>1537</v>
      </c>
      <c r="B32" s="1">
        <v>70.0</v>
      </c>
      <c r="E32" s="54"/>
      <c r="F32" s="54"/>
      <c r="G32" s="80"/>
    </row>
    <row r="33">
      <c r="A33" s="1" t="s">
        <v>1539</v>
      </c>
      <c r="B33" s="1">
        <v>40.0</v>
      </c>
      <c r="E33" s="79"/>
      <c r="F33" s="79"/>
      <c r="G33" s="80"/>
    </row>
    <row r="34">
      <c r="A34" s="1" t="s">
        <v>1540</v>
      </c>
      <c r="B34" s="1">
        <v>80.0</v>
      </c>
      <c r="E34" s="79"/>
      <c r="F34" s="79"/>
      <c r="G34" s="80"/>
    </row>
    <row r="35">
      <c r="A35" s="1" t="s">
        <v>1541</v>
      </c>
      <c r="B35" s="1">
        <v>80.0</v>
      </c>
      <c r="E35" s="79"/>
      <c r="F35" s="79"/>
      <c r="G35" s="80"/>
    </row>
    <row r="36">
      <c r="A36" s="1" t="s">
        <v>1542</v>
      </c>
      <c r="B36" s="1">
        <v>14.0</v>
      </c>
      <c r="E36" s="54"/>
      <c r="F36" s="54"/>
      <c r="G36" s="81"/>
    </row>
    <row r="37">
      <c r="A37" s="1" t="s">
        <v>1543</v>
      </c>
      <c r="B37" s="1">
        <v>10.0</v>
      </c>
      <c r="E37" s="79"/>
      <c r="F37" s="79"/>
      <c r="G37" s="80"/>
    </row>
    <row r="38">
      <c r="A38" s="1" t="s">
        <v>1544</v>
      </c>
      <c r="B38" s="1">
        <v>20.0</v>
      </c>
      <c r="E38" s="79"/>
      <c r="F38" s="79"/>
      <c r="G38" s="80"/>
    </row>
    <row r="39">
      <c r="A39" s="1" t="s">
        <v>1545</v>
      </c>
      <c r="B39" s="1">
        <v>20.0</v>
      </c>
      <c r="E39" s="79"/>
      <c r="F39" s="79"/>
      <c r="G39" s="80"/>
    </row>
    <row r="40">
      <c r="A40" s="1" t="s">
        <v>1547</v>
      </c>
      <c r="B40" s="1">
        <v>120.0</v>
      </c>
      <c r="E40" s="79"/>
      <c r="F40" s="79"/>
      <c r="G40" s="80"/>
    </row>
    <row r="41">
      <c r="A41" s="1" t="s">
        <v>1548</v>
      </c>
      <c r="B41" s="1">
        <v>50.0</v>
      </c>
      <c r="E41" s="79"/>
      <c r="F41" s="79"/>
      <c r="G41" s="80"/>
    </row>
    <row r="42">
      <c r="A42" s="1" t="s">
        <v>1550</v>
      </c>
      <c r="B42" s="1">
        <v>70.0</v>
      </c>
      <c r="E42" s="79"/>
      <c r="F42" s="79"/>
      <c r="G42" s="80"/>
    </row>
    <row r="43">
      <c r="A43" s="1" t="s">
        <v>1551</v>
      </c>
      <c r="B43" s="1">
        <v>90.0</v>
      </c>
      <c r="E43" s="79"/>
      <c r="F43" s="79"/>
      <c r="G43" s="80"/>
    </row>
    <row r="44">
      <c r="A44" s="1" t="s">
        <v>1553</v>
      </c>
      <c r="B44" s="1">
        <v>10.0</v>
      </c>
      <c r="E44" s="79"/>
      <c r="F44" s="79"/>
      <c r="G44" s="80"/>
    </row>
    <row r="45">
      <c r="A45" s="1" t="s">
        <v>1554</v>
      </c>
      <c r="B45" s="1">
        <v>20.0</v>
      </c>
      <c r="E45" s="79"/>
      <c r="F45" s="79"/>
      <c r="G45" s="80"/>
    </row>
    <row r="46">
      <c r="A46" s="1" t="s">
        <v>1556</v>
      </c>
      <c r="B46" s="1">
        <v>30.0</v>
      </c>
      <c r="E46" s="79"/>
      <c r="F46" s="79"/>
      <c r="G46" s="80"/>
    </row>
    <row r="47">
      <c r="A47" s="1" t="s">
        <v>1558</v>
      </c>
      <c r="B47" s="1">
        <v>10.0</v>
      </c>
      <c r="E47" s="79"/>
      <c r="F47" s="79"/>
      <c r="G47" s="80"/>
    </row>
    <row r="48">
      <c r="A48" s="1" t="s">
        <v>1559</v>
      </c>
      <c r="B48" s="1">
        <v>20.0</v>
      </c>
      <c r="E48" s="79"/>
      <c r="F48" s="79"/>
      <c r="G48" s="80"/>
    </row>
    <row r="49">
      <c r="A49" s="1" t="s">
        <v>1561</v>
      </c>
      <c r="B49" s="1">
        <v>20.0</v>
      </c>
      <c r="E49" s="79"/>
      <c r="F49" s="79"/>
      <c r="G49" s="80"/>
    </row>
    <row r="50">
      <c r="A50" s="1" t="s">
        <v>1562</v>
      </c>
      <c r="B50" s="1">
        <v>109.0</v>
      </c>
      <c r="E50" s="79"/>
      <c r="F50" s="79"/>
      <c r="G50" s="80"/>
    </row>
    <row r="51">
      <c r="A51" s="1" t="s">
        <v>1563</v>
      </c>
      <c r="B51" s="1">
        <v>110.0</v>
      </c>
      <c r="E51" s="79"/>
      <c r="F51" s="79"/>
      <c r="G51" s="80"/>
    </row>
    <row r="52">
      <c r="A52" s="1" t="s">
        <v>1564</v>
      </c>
      <c r="B52" s="1">
        <v>100.0</v>
      </c>
      <c r="E52" s="79"/>
      <c r="F52" s="79"/>
      <c r="G52" s="80"/>
    </row>
    <row r="53">
      <c r="A53" s="1" t="s">
        <v>1566</v>
      </c>
      <c r="B53" s="1">
        <v>110.0</v>
      </c>
      <c r="E53" s="79"/>
      <c r="F53" s="79"/>
      <c r="G53" s="80"/>
    </row>
    <row r="54">
      <c r="A54" s="1" t="s">
        <v>1567</v>
      </c>
      <c r="B54" s="1">
        <v>70.0</v>
      </c>
      <c r="E54" s="79"/>
      <c r="F54" s="79"/>
      <c r="G54" s="80"/>
    </row>
    <row r="55">
      <c r="A55" s="1" t="s">
        <v>1569</v>
      </c>
      <c r="B55" s="1">
        <v>50.0</v>
      </c>
      <c r="E55" s="79"/>
      <c r="F55" s="79"/>
      <c r="G55" s="80"/>
    </row>
    <row r="56">
      <c r="A56" s="1" t="s">
        <v>1571</v>
      </c>
      <c r="B56" s="1">
        <v>40.0</v>
      </c>
      <c r="E56" s="79"/>
      <c r="F56" s="79"/>
      <c r="G56" s="80"/>
    </row>
    <row r="57">
      <c r="A57" s="1" t="s">
        <v>1573</v>
      </c>
      <c r="B57" s="1">
        <v>60.0</v>
      </c>
    </row>
    <row r="58">
      <c r="A58" s="1"/>
      <c r="B58" s="1"/>
    </row>
    <row r="59">
      <c r="A59" s="1" t="s">
        <v>1575</v>
      </c>
      <c r="B59" s="1">
        <v>190.0</v>
      </c>
    </row>
    <row r="60">
      <c r="A60" s="1" t="s">
        <v>1576</v>
      </c>
      <c r="B60" s="1">
        <v>160.0</v>
      </c>
    </row>
    <row r="61">
      <c r="A61" s="1" t="s">
        <v>1577</v>
      </c>
      <c r="B61" s="1">
        <v>150.0</v>
      </c>
    </row>
    <row r="62">
      <c r="A62" s="1" t="s">
        <v>1578</v>
      </c>
      <c r="B62" s="1">
        <v>160.0</v>
      </c>
    </row>
    <row r="63">
      <c r="A63" s="1" t="s">
        <v>1580</v>
      </c>
      <c r="B63" s="1">
        <v>100.0</v>
      </c>
      <c r="E63" s="79"/>
      <c r="F63" s="79"/>
      <c r="G63" s="80"/>
    </row>
    <row r="64">
      <c r="A64" s="1" t="s">
        <v>1583</v>
      </c>
      <c r="B64" s="1">
        <v>50.0</v>
      </c>
      <c r="E64" s="79"/>
      <c r="F64" s="79"/>
      <c r="G64" s="80"/>
    </row>
    <row r="65">
      <c r="A65" s="1" t="s">
        <v>1584</v>
      </c>
      <c r="B65" s="1">
        <v>50.0</v>
      </c>
    </row>
    <row r="66">
      <c r="A66" s="1" t="s">
        <v>1586</v>
      </c>
      <c r="B66" s="1">
        <v>50.0</v>
      </c>
      <c r="E66" s="79"/>
      <c r="F66" s="79"/>
      <c r="G66" s="80"/>
    </row>
    <row r="67">
      <c r="A67" s="1" t="s">
        <v>1588</v>
      </c>
      <c r="B67" s="1">
        <v>100.0</v>
      </c>
    </row>
    <row r="68">
      <c r="A68" s="1" t="s">
        <v>1590</v>
      </c>
      <c r="B68" s="1">
        <v>50.0</v>
      </c>
    </row>
    <row r="69">
      <c r="A69" s="1" t="s">
        <v>1591</v>
      </c>
      <c r="B69" s="1">
        <v>50.0</v>
      </c>
    </row>
    <row r="70">
      <c r="A70" s="1" t="s">
        <v>1593</v>
      </c>
      <c r="B70" s="1">
        <v>50.0</v>
      </c>
    </row>
    <row r="71">
      <c r="A71" s="1" t="s">
        <v>1595</v>
      </c>
      <c r="B71" s="1">
        <v>160.0</v>
      </c>
      <c r="E71" s="79"/>
      <c r="F71" s="79"/>
      <c r="G71" s="80"/>
    </row>
    <row r="72">
      <c r="A72" s="1" t="s">
        <v>1597</v>
      </c>
      <c r="B72" s="1">
        <v>110.0</v>
      </c>
      <c r="E72" s="79"/>
      <c r="F72" s="79"/>
      <c r="G72" s="80"/>
    </row>
    <row r="73">
      <c r="A73" s="1" t="s">
        <v>1599</v>
      </c>
      <c r="B73" s="1">
        <v>110.0</v>
      </c>
      <c r="E73" s="79"/>
      <c r="F73" s="79"/>
      <c r="G73" s="80"/>
    </row>
    <row r="74">
      <c r="A74" s="1" t="s">
        <v>1601</v>
      </c>
      <c r="B74" s="1">
        <v>110.0</v>
      </c>
      <c r="E74" s="79"/>
      <c r="F74" s="79"/>
      <c r="G74" s="80"/>
    </row>
    <row r="75">
      <c r="A75" s="1" t="s">
        <v>1603</v>
      </c>
      <c r="B75" s="1">
        <v>100.0</v>
      </c>
    </row>
    <row r="76">
      <c r="A76" s="1" t="s">
        <v>1605</v>
      </c>
      <c r="B76" s="1">
        <v>80.0</v>
      </c>
    </row>
    <row r="77">
      <c r="A77" s="1" t="s">
        <v>1607</v>
      </c>
      <c r="B77" s="1">
        <v>50.0</v>
      </c>
    </row>
    <row r="78">
      <c r="A78" s="1" t="s">
        <v>1609</v>
      </c>
      <c r="B78" s="1">
        <v>39.0</v>
      </c>
    </row>
    <row r="79">
      <c r="A79" s="1" t="s">
        <v>1610</v>
      </c>
      <c r="B79" s="1">
        <v>50.0</v>
      </c>
    </row>
    <row r="80">
      <c r="A80" s="1" t="s">
        <v>1612</v>
      </c>
      <c r="B80" s="1">
        <v>50.0</v>
      </c>
    </row>
    <row r="81">
      <c r="A81" s="1" t="s">
        <v>1614</v>
      </c>
      <c r="B81" s="1">
        <v>80.0</v>
      </c>
    </row>
    <row r="82">
      <c r="A82" s="1" t="s">
        <v>1616</v>
      </c>
      <c r="B82" s="1">
        <v>100.0</v>
      </c>
    </row>
    <row r="83">
      <c r="A83" s="1" t="s">
        <v>1618</v>
      </c>
      <c r="B83" s="1">
        <v>50.0</v>
      </c>
    </row>
    <row r="84">
      <c r="A84" s="1" t="s">
        <v>1620</v>
      </c>
      <c r="B84" s="1">
        <v>50.0</v>
      </c>
    </row>
    <row r="85">
      <c r="A85" s="1" t="s">
        <v>1621</v>
      </c>
      <c r="B85" s="1">
        <v>50.0</v>
      </c>
    </row>
    <row r="86">
      <c r="A86" s="1" t="s">
        <v>1623</v>
      </c>
      <c r="B86" s="1">
        <v>20.0</v>
      </c>
    </row>
    <row r="87">
      <c r="A87" s="1" t="s">
        <v>1625</v>
      </c>
      <c r="B87" s="1">
        <v>70.0</v>
      </c>
    </row>
    <row r="88">
      <c r="A88" s="1" t="s">
        <v>1627</v>
      </c>
      <c r="B88" s="1">
        <v>10.0</v>
      </c>
    </row>
    <row r="89">
      <c r="A89" s="1" t="s">
        <v>1629</v>
      </c>
      <c r="B89" s="1">
        <v>40.0</v>
      </c>
    </row>
    <row r="90">
      <c r="A90" s="1" t="s">
        <v>1630</v>
      </c>
      <c r="B90" s="1">
        <v>50.0</v>
      </c>
    </row>
    <row r="91">
      <c r="A91" s="1" t="s">
        <v>1632</v>
      </c>
      <c r="B91" s="1">
        <v>30.0</v>
      </c>
    </row>
    <row r="92">
      <c r="A92" s="1" t="s">
        <v>1634</v>
      </c>
      <c r="B92" s="1">
        <v>110.0</v>
      </c>
    </row>
    <row r="93">
      <c r="A93" s="1" t="s">
        <v>1636</v>
      </c>
      <c r="B93" s="1">
        <v>80.0</v>
      </c>
    </row>
    <row r="94">
      <c r="A94" s="1" t="s">
        <v>1638</v>
      </c>
      <c r="B94" s="1">
        <v>60.0</v>
      </c>
    </row>
    <row r="95">
      <c r="A95" s="1" t="s">
        <v>1640</v>
      </c>
      <c r="B95" s="1">
        <v>100.0</v>
      </c>
    </row>
    <row r="96">
      <c r="A96" s="1" t="s">
        <v>1642</v>
      </c>
      <c r="B96" s="1">
        <v>150.0</v>
      </c>
    </row>
    <row r="97">
      <c r="A97" s="1" t="s">
        <v>1644</v>
      </c>
      <c r="B97" s="1">
        <v>100.0</v>
      </c>
    </row>
    <row r="98">
      <c r="A98" s="1" t="s">
        <v>1645</v>
      </c>
      <c r="B98" s="1">
        <v>150.0</v>
      </c>
    </row>
    <row r="99">
      <c r="A99" s="1" t="s">
        <v>1647</v>
      </c>
      <c r="B99" s="1">
        <v>100.0</v>
      </c>
    </row>
    <row r="100">
      <c r="A100" s="1"/>
      <c r="B100" s="1"/>
      <c r="E100" s="79"/>
      <c r="F100" s="79"/>
      <c r="G100" s="80"/>
    </row>
    <row r="101">
      <c r="A101" s="1" t="s">
        <v>1648</v>
      </c>
      <c r="B101" s="1">
        <v>50.0</v>
      </c>
      <c r="E101" s="79"/>
      <c r="F101" s="79"/>
      <c r="G101" s="80"/>
    </row>
    <row r="102">
      <c r="A102" s="1" t="s">
        <v>1649</v>
      </c>
      <c r="B102" s="1">
        <v>50.0</v>
      </c>
      <c r="E102" s="79"/>
      <c r="F102" s="79"/>
      <c r="G102" s="80"/>
    </row>
    <row r="103">
      <c r="A103" s="1" t="s">
        <v>1650</v>
      </c>
      <c r="B103" s="1">
        <v>100.0</v>
      </c>
      <c r="E103" s="79"/>
      <c r="F103" s="79"/>
      <c r="G103" s="80"/>
    </row>
    <row r="104">
      <c r="A104" s="1" t="s">
        <v>1651</v>
      </c>
      <c r="B104" s="1">
        <v>50.0</v>
      </c>
    </row>
    <row r="105">
      <c r="A105" s="1" t="s">
        <v>1652</v>
      </c>
      <c r="B105" s="1">
        <v>50.0</v>
      </c>
    </row>
    <row r="106">
      <c r="A106" s="1" t="s">
        <v>1653</v>
      </c>
      <c r="B106" s="1">
        <v>50.0</v>
      </c>
    </row>
    <row r="107">
      <c r="A107" s="1" t="s">
        <v>1654</v>
      </c>
      <c r="B107" s="1">
        <v>50.0</v>
      </c>
    </row>
    <row r="108">
      <c r="A108" s="1" t="s">
        <v>1655</v>
      </c>
      <c r="B108" s="1">
        <v>170.0</v>
      </c>
      <c r="E108" s="79"/>
      <c r="F108" s="79"/>
      <c r="G108" s="80"/>
    </row>
    <row r="109">
      <c r="A109" s="1" t="s">
        <v>1656</v>
      </c>
      <c r="B109" s="1">
        <v>80.0</v>
      </c>
      <c r="E109" s="79"/>
      <c r="F109" s="79"/>
      <c r="G109" s="80"/>
    </row>
    <row r="110">
      <c r="A110" s="1" t="s">
        <v>1657</v>
      </c>
      <c r="B110" s="1">
        <v>40.0</v>
      </c>
    </row>
    <row r="111">
      <c r="A111" s="1" t="s">
        <v>1658</v>
      </c>
      <c r="B111" s="1">
        <v>140.0</v>
      </c>
      <c r="E111" s="79"/>
      <c r="F111" s="79"/>
      <c r="G111" s="80"/>
    </row>
    <row r="112">
      <c r="A112" s="1" t="s">
        <v>1659</v>
      </c>
      <c r="B112" s="1">
        <v>50.0</v>
      </c>
    </row>
    <row r="113">
      <c r="A113" s="1" t="s">
        <v>1660</v>
      </c>
      <c r="B113" s="1">
        <v>50.0</v>
      </c>
    </row>
    <row r="114">
      <c r="A114" s="1" t="s">
        <v>1661</v>
      </c>
      <c r="B114" s="1">
        <v>50.0</v>
      </c>
    </row>
    <row r="115">
      <c r="A115" s="1" t="s">
        <v>1662</v>
      </c>
      <c r="B115" s="1">
        <v>50.0</v>
      </c>
    </row>
    <row r="116">
      <c r="A116" s="1" t="s">
        <v>1663</v>
      </c>
      <c r="B116" s="1">
        <v>9.0</v>
      </c>
      <c r="E116" s="79"/>
      <c r="F116" s="79"/>
      <c r="G116" s="80"/>
    </row>
    <row r="117">
      <c r="A117" s="1" t="s">
        <v>1664</v>
      </c>
      <c r="B117" s="1">
        <v>30.0</v>
      </c>
      <c r="E117" s="79"/>
      <c r="F117" s="79"/>
      <c r="G117" s="80"/>
    </row>
    <row r="118">
      <c r="A118" s="1" t="s">
        <v>1665</v>
      </c>
      <c r="B118" s="1">
        <v>14.0</v>
      </c>
      <c r="E118" s="79"/>
      <c r="F118" s="79"/>
      <c r="G118" s="80"/>
    </row>
    <row r="119">
      <c r="A119" s="1" t="s">
        <v>1666</v>
      </c>
      <c r="B119" s="1">
        <v>30.0</v>
      </c>
      <c r="E119" s="79"/>
      <c r="F119" s="79"/>
      <c r="G119" s="80"/>
    </row>
    <row r="120">
      <c r="A120" s="1" t="s">
        <v>1667</v>
      </c>
      <c r="B120" s="1">
        <v>50.0</v>
      </c>
      <c r="E120" s="79"/>
      <c r="F120" s="79"/>
      <c r="G120" s="80"/>
    </row>
    <row r="121">
      <c r="A121" s="1" t="s">
        <v>1668</v>
      </c>
      <c r="B121" s="1">
        <v>50.0</v>
      </c>
      <c r="E121" s="79"/>
      <c r="F121" s="79"/>
      <c r="G121" s="80"/>
    </row>
    <row r="122">
      <c r="A122" s="1" t="s">
        <v>1669</v>
      </c>
      <c r="B122" s="1">
        <v>50.0</v>
      </c>
      <c r="E122" s="79"/>
      <c r="F122" s="79"/>
      <c r="G122" s="80"/>
    </row>
    <row r="123">
      <c r="A123" s="1" t="s">
        <v>1670</v>
      </c>
      <c r="B123" s="1">
        <v>20.0</v>
      </c>
      <c r="E123" s="79"/>
      <c r="F123" s="79"/>
      <c r="G123" s="80"/>
    </row>
    <row r="124">
      <c r="E124" s="79"/>
      <c r="F124" s="79"/>
      <c r="G124" s="80"/>
    </row>
    <row r="125">
      <c r="A125" s="1" t="s">
        <v>1671</v>
      </c>
      <c r="B125" s="1">
        <v>30.0</v>
      </c>
      <c r="E125" s="79"/>
      <c r="F125" s="79"/>
      <c r="G125" s="80"/>
    </row>
    <row r="126">
      <c r="A126" s="1" t="s">
        <v>1672</v>
      </c>
      <c r="B126" s="1">
        <v>10.0</v>
      </c>
      <c r="E126" s="79"/>
      <c r="F126" s="79"/>
      <c r="G126" s="80"/>
    </row>
    <row r="127">
      <c r="A127" s="1" t="s">
        <v>1673</v>
      </c>
      <c r="B127" s="1">
        <v>30.0</v>
      </c>
      <c r="E127" s="79"/>
      <c r="F127" s="79"/>
      <c r="G127" s="80"/>
    </row>
    <row r="128">
      <c r="A128" s="1" t="s">
        <v>1674</v>
      </c>
      <c r="B128" s="1">
        <v>10.0</v>
      </c>
      <c r="E128" s="79"/>
      <c r="F128" s="79"/>
      <c r="G128" s="80"/>
    </row>
    <row r="129">
      <c r="A129" s="1" t="s">
        <v>1675</v>
      </c>
      <c r="B129" s="1">
        <v>20.0</v>
      </c>
      <c r="E129" s="79"/>
      <c r="F129" s="79"/>
      <c r="G129" s="80"/>
    </row>
    <row r="130">
      <c r="A130" s="1" t="s">
        <v>1676</v>
      </c>
      <c r="B130" s="1">
        <v>29.0</v>
      </c>
      <c r="E130" s="79"/>
      <c r="F130" s="79"/>
      <c r="G130" s="80"/>
    </row>
    <row r="131">
      <c r="A131" s="1" t="s">
        <v>1677</v>
      </c>
      <c r="B131" s="1">
        <v>40.0</v>
      </c>
      <c r="E131" s="79"/>
      <c r="F131" s="79"/>
      <c r="G131" s="80"/>
    </row>
    <row r="132">
      <c r="A132" s="1" t="s">
        <v>1678</v>
      </c>
      <c r="B132" s="1">
        <v>40.0</v>
      </c>
      <c r="E132" s="79"/>
      <c r="F132" s="79"/>
      <c r="G132" s="80"/>
    </row>
    <row r="133">
      <c r="A133" s="1" t="s">
        <v>1679</v>
      </c>
      <c r="B133" s="1">
        <v>40.0</v>
      </c>
      <c r="E133" s="79"/>
      <c r="F133" s="79"/>
      <c r="G133" s="80"/>
    </row>
    <row r="134">
      <c r="A134" s="1" t="s">
        <v>1680</v>
      </c>
      <c r="B134" s="1">
        <v>40.0</v>
      </c>
      <c r="E134" s="79"/>
      <c r="F134" s="79"/>
      <c r="G134" s="80"/>
    </row>
    <row r="135">
      <c r="A135" s="1" t="s">
        <v>1681</v>
      </c>
      <c r="B135" s="1">
        <v>40.0</v>
      </c>
      <c r="E135" s="79"/>
      <c r="F135" s="79"/>
      <c r="G135" s="80"/>
    </row>
    <row r="136">
      <c r="A136" s="1" t="s">
        <v>1682</v>
      </c>
      <c r="B136" s="1">
        <v>40.0</v>
      </c>
      <c r="E136" s="79"/>
      <c r="F136" s="79"/>
      <c r="G136" s="80"/>
    </row>
    <row r="137">
      <c r="A137" s="1" t="s">
        <v>1683</v>
      </c>
      <c r="B137" s="1">
        <v>30.0</v>
      </c>
      <c r="E137" s="79"/>
      <c r="F137" s="79"/>
      <c r="G137" s="80"/>
    </row>
    <row r="138">
      <c r="A138" s="1" t="s">
        <v>1684</v>
      </c>
      <c r="B138" s="1">
        <v>40.0</v>
      </c>
      <c r="E138" s="79"/>
      <c r="F138" s="79"/>
      <c r="G138" s="80"/>
    </row>
    <row r="139">
      <c r="A139" s="1" t="s">
        <v>1685</v>
      </c>
      <c r="B139" s="1">
        <v>10.0</v>
      </c>
    </row>
    <row r="140">
      <c r="A140" s="1" t="s">
        <v>1686</v>
      </c>
      <c r="B140" s="1">
        <v>20.0</v>
      </c>
    </row>
    <row r="141">
      <c r="A141" s="1" t="s">
        <v>1687</v>
      </c>
      <c r="B141" s="1">
        <v>20.0</v>
      </c>
    </row>
    <row r="142">
      <c r="A142" s="1" t="s">
        <v>1688</v>
      </c>
      <c r="B142" s="1">
        <v>40.0</v>
      </c>
    </row>
    <row r="143">
      <c r="A143" s="1" t="s">
        <v>1689</v>
      </c>
      <c r="B143" s="1">
        <v>40.0</v>
      </c>
    </row>
    <row r="144">
      <c r="A144" s="1" t="s">
        <v>1690</v>
      </c>
      <c r="B144" s="1">
        <v>30.0</v>
      </c>
    </row>
    <row r="145">
      <c r="A145" s="1" t="s">
        <v>1691</v>
      </c>
      <c r="B145" s="1">
        <v>40.0</v>
      </c>
    </row>
    <row r="146">
      <c r="A146" s="1" t="s">
        <v>1692</v>
      </c>
      <c r="B146" s="1">
        <v>40.0</v>
      </c>
    </row>
    <row r="147">
      <c r="A147" s="1" t="s">
        <v>1693</v>
      </c>
      <c r="B147" s="1">
        <v>10.0</v>
      </c>
    </row>
    <row r="148">
      <c r="A148" s="1" t="s">
        <v>1694</v>
      </c>
      <c r="B148" s="1">
        <v>10.0</v>
      </c>
    </row>
    <row r="149">
      <c r="A149" s="1" t="s">
        <v>1695</v>
      </c>
      <c r="B149" s="1">
        <v>20.0</v>
      </c>
    </row>
    <row r="150">
      <c r="A150" s="1" t="s">
        <v>1696</v>
      </c>
      <c r="B150" s="1">
        <v>40.0</v>
      </c>
    </row>
    <row r="151">
      <c r="A151" s="1" t="s">
        <v>1697</v>
      </c>
      <c r="B151" s="1">
        <v>20.0</v>
      </c>
    </row>
    <row r="152">
      <c r="A152" s="1" t="s">
        <v>1698</v>
      </c>
      <c r="B152" s="1">
        <v>20.0</v>
      </c>
    </row>
    <row r="153">
      <c r="A153" s="1" t="s">
        <v>1699</v>
      </c>
      <c r="B153" s="1">
        <v>20.0</v>
      </c>
    </row>
    <row r="154">
      <c r="A154" s="1" t="s">
        <v>1700</v>
      </c>
      <c r="B154" s="1">
        <v>40.0</v>
      </c>
    </row>
    <row r="155">
      <c r="A155" s="1" t="s">
        <v>1701</v>
      </c>
      <c r="B155" s="1">
        <v>40.0</v>
      </c>
    </row>
    <row r="156">
      <c r="A156" s="1" t="s">
        <v>1702</v>
      </c>
      <c r="B156" s="1">
        <v>40.0</v>
      </c>
    </row>
    <row r="157">
      <c r="A157" s="1" t="s">
        <v>1703</v>
      </c>
      <c r="B157" s="1">
        <v>40.0</v>
      </c>
    </row>
    <row r="158">
      <c r="A158" s="1" t="s">
        <v>1704</v>
      </c>
      <c r="B158" s="1">
        <v>40.0</v>
      </c>
    </row>
    <row r="159">
      <c r="E159" s="54"/>
      <c r="F159" s="54"/>
      <c r="G159" s="81"/>
    </row>
    <row r="160">
      <c r="E160" s="79"/>
      <c r="F160" s="79"/>
      <c r="G160" s="80"/>
    </row>
    <row r="166">
      <c r="E166" s="79"/>
      <c r="F166" s="79"/>
      <c r="G166" s="80"/>
    </row>
    <row r="167">
      <c r="E167" s="79"/>
      <c r="F167" s="79"/>
      <c r="G167" s="80"/>
    </row>
    <row r="168">
      <c r="E168" s="79"/>
      <c r="F168" s="79"/>
      <c r="G168" s="80"/>
    </row>
    <row r="169">
      <c r="E169" s="79"/>
      <c r="F169" s="79"/>
      <c r="G169" s="80"/>
    </row>
    <row r="170">
      <c r="E170" s="79"/>
      <c r="F170" s="79"/>
      <c r="G170" s="80"/>
    </row>
    <row r="171">
      <c r="E171" s="79"/>
      <c r="F171" s="79"/>
      <c r="G171" s="80"/>
    </row>
    <row r="172">
      <c r="E172" s="79"/>
      <c r="F172" s="79"/>
      <c r="G172" s="80"/>
    </row>
  </sheetData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3" max="3" width="25.0"/>
    <col customWidth="1" min="5" max="5" width="25.38"/>
    <col customWidth="1" min="7" max="7" width="17.38"/>
  </cols>
  <sheetData>
    <row r="2">
      <c r="A2" s="1" t="s">
        <v>1522</v>
      </c>
      <c r="B2" s="1">
        <v>30.0</v>
      </c>
      <c r="E2" s="79"/>
      <c r="F2" s="80"/>
    </row>
    <row r="3">
      <c r="A3" s="79"/>
      <c r="B3" s="81"/>
    </row>
    <row r="6">
      <c r="A6" s="1" t="s">
        <v>1528</v>
      </c>
      <c r="B6" s="1">
        <v>40.0</v>
      </c>
      <c r="E6" s="79"/>
      <c r="F6" s="80"/>
    </row>
    <row r="7">
      <c r="A7" s="1" t="s">
        <v>1530</v>
      </c>
      <c r="B7" s="1">
        <v>10.0</v>
      </c>
      <c r="E7" s="79"/>
      <c r="F7" s="80"/>
    </row>
    <row r="8">
      <c r="A8" s="1" t="s">
        <v>1532</v>
      </c>
      <c r="B8" s="1">
        <v>20.0</v>
      </c>
      <c r="C8" s="79"/>
      <c r="E8" s="79"/>
      <c r="F8" s="80"/>
    </row>
    <row r="9">
      <c r="A9" s="1" t="s">
        <v>1534</v>
      </c>
      <c r="B9" s="1">
        <v>20.0</v>
      </c>
      <c r="E9" s="79"/>
      <c r="F9" s="80"/>
    </row>
    <row r="10">
      <c r="E10" s="79"/>
      <c r="F10" s="80"/>
    </row>
    <row r="11">
      <c r="E11" s="79"/>
      <c r="F11" s="80"/>
    </row>
    <row r="12">
      <c r="E12" s="79"/>
      <c r="F12" s="80"/>
    </row>
    <row r="13">
      <c r="A13" s="1" t="s">
        <v>1538</v>
      </c>
      <c r="B13" s="1">
        <v>10.0</v>
      </c>
    </row>
    <row r="15">
      <c r="A15" s="1" t="s">
        <v>1546</v>
      </c>
      <c r="B15" s="1">
        <v>30.0</v>
      </c>
    </row>
    <row r="16">
      <c r="A16" s="1" t="s">
        <v>1549</v>
      </c>
      <c r="B16" s="1">
        <v>30.0</v>
      </c>
    </row>
    <row r="19">
      <c r="A19" s="1" t="s">
        <v>1552</v>
      </c>
      <c r="B19" s="1">
        <v>10.0</v>
      </c>
    </row>
    <row r="20">
      <c r="A20" s="1" t="s">
        <v>1555</v>
      </c>
      <c r="B20" s="1">
        <v>10.0</v>
      </c>
    </row>
    <row r="21">
      <c r="A21" s="1" t="s">
        <v>1557</v>
      </c>
      <c r="B21" s="1">
        <v>30.0</v>
      </c>
    </row>
    <row r="22">
      <c r="A22" s="1" t="s">
        <v>1560</v>
      </c>
      <c r="B22" s="1">
        <v>20.0</v>
      </c>
    </row>
    <row r="23">
      <c r="A23" s="79"/>
      <c r="B23" s="81"/>
    </row>
    <row r="24">
      <c r="A24" s="79"/>
      <c r="B24" s="81"/>
    </row>
    <row r="25">
      <c r="A25" s="79" t="s">
        <v>1565</v>
      </c>
      <c r="B25" s="81">
        <v>20.0</v>
      </c>
    </row>
    <row r="26">
      <c r="A26" s="79" t="s">
        <v>1568</v>
      </c>
      <c r="B26" s="81">
        <v>10.0</v>
      </c>
    </row>
    <row r="27">
      <c r="A27" s="79" t="s">
        <v>1570</v>
      </c>
      <c r="B27" s="81">
        <v>30.0</v>
      </c>
    </row>
    <row r="28">
      <c r="A28" s="79" t="s">
        <v>1572</v>
      </c>
      <c r="B28" s="81">
        <v>30.0</v>
      </c>
    </row>
    <row r="29">
      <c r="A29" s="79" t="s">
        <v>1574</v>
      </c>
      <c r="B29" s="81">
        <v>40.0</v>
      </c>
    </row>
    <row r="30">
      <c r="A30" s="79"/>
      <c r="B30" s="81"/>
    </row>
    <row r="31">
      <c r="A31" s="79" t="s">
        <v>1579</v>
      </c>
      <c r="B31" s="81">
        <v>40.0</v>
      </c>
    </row>
    <row r="32">
      <c r="A32" s="79" t="s">
        <v>1581</v>
      </c>
      <c r="B32" s="81">
        <v>30.0</v>
      </c>
    </row>
  </sheetData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1582</v>
      </c>
      <c r="B1" s="1">
        <v>30.0</v>
      </c>
    </row>
    <row r="2">
      <c r="A2" s="1" t="s">
        <v>1585</v>
      </c>
      <c r="B2" s="1">
        <v>20.0</v>
      </c>
    </row>
    <row r="3">
      <c r="A3" s="1" t="s">
        <v>1587</v>
      </c>
      <c r="B3" s="1">
        <v>40.0</v>
      </c>
    </row>
    <row r="4">
      <c r="A4" s="1" t="s">
        <v>1589</v>
      </c>
      <c r="B4" s="1">
        <v>20.0</v>
      </c>
    </row>
    <row r="5">
      <c r="A5" s="1" t="s">
        <v>1592</v>
      </c>
      <c r="B5" s="1">
        <v>10.0</v>
      </c>
    </row>
    <row r="7">
      <c r="A7" s="1" t="s">
        <v>1594</v>
      </c>
      <c r="B7" s="1">
        <v>20.0</v>
      </c>
    </row>
    <row r="9">
      <c r="A9" s="1" t="s">
        <v>1596</v>
      </c>
      <c r="B9" s="1">
        <v>20.0</v>
      </c>
    </row>
    <row r="10">
      <c r="A10" s="1" t="s">
        <v>1598</v>
      </c>
      <c r="B10" s="1">
        <v>10.0</v>
      </c>
    </row>
    <row r="11">
      <c r="A11" s="1" t="s">
        <v>1600</v>
      </c>
      <c r="B11" s="1">
        <v>20.0</v>
      </c>
    </row>
    <row r="12">
      <c r="A12" s="1" t="s">
        <v>1602</v>
      </c>
      <c r="B12" s="1">
        <v>20.0</v>
      </c>
    </row>
    <row r="13">
      <c r="A13" s="1" t="s">
        <v>1604</v>
      </c>
      <c r="B13" s="1">
        <v>20.0</v>
      </c>
    </row>
    <row r="14">
      <c r="A14" s="1" t="s">
        <v>1606</v>
      </c>
      <c r="B14" s="1">
        <v>30.0</v>
      </c>
    </row>
    <row r="15">
      <c r="A15" s="1" t="s">
        <v>1608</v>
      </c>
      <c r="B15" s="1">
        <v>10.0</v>
      </c>
    </row>
    <row r="16">
      <c r="A16" s="1" t="s">
        <v>1611</v>
      </c>
      <c r="B16" s="1">
        <v>20.0</v>
      </c>
    </row>
    <row r="17">
      <c r="A17" s="1" t="s">
        <v>1613</v>
      </c>
      <c r="B17" s="1">
        <v>30.0</v>
      </c>
    </row>
    <row r="18">
      <c r="A18" s="1" t="s">
        <v>1615</v>
      </c>
      <c r="B18" s="1">
        <v>20.0</v>
      </c>
    </row>
    <row r="19">
      <c r="A19" s="1" t="s">
        <v>1617</v>
      </c>
      <c r="B19" s="1">
        <v>10.0</v>
      </c>
    </row>
    <row r="20">
      <c r="A20" s="1" t="s">
        <v>1619</v>
      </c>
      <c r="B20" s="1">
        <v>40.0</v>
      </c>
    </row>
    <row r="21">
      <c r="A21" s="1" t="s">
        <v>1622</v>
      </c>
      <c r="B21" s="1">
        <v>40.0</v>
      </c>
    </row>
    <row r="22">
      <c r="A22" s="1" t="s">
        <v>1624</v>
      </c>
      <c r="B22" s="1">
        <v>30.0</v>
      </c>
    </row>
    <row r="23">
      <c r="A23" s="1" t="s">
        <v>1626</v>
      </c>
      <c r="B23" s="1">
        <v>20.0</v>
      </c>
    </row>
    <row r="24">
      <c r="A24" s="1" t="s">
        <v>1628</v>
      </c>
      <c r="B24" s="1">
        <v>20.0</v>
      </c>
    </row>
    <row r="25">
      <c r="A25" s="1" t="s">
        <v>1631</v>
      </c>
      <c r="B25" s="1">
        <v>30.0</v>
      </c>
    </row>
    <row r="26">
      <c r="A26" s="1" t="s">
        <v>1633</v>
      </c>
      <c r="B26" s="1">
        <v>40.0</v>
      </c>
    </row>
    <row r="27">
      <c r="A27" s="1" t="s">
        <v>1635</v>
      </c>
      <c r="B27" s="1">
        <v>30.0</v>
      </c>
    </row>
    <row r="28">
      <c r="A28" s="1" t="s">
        <v>1637</v>
      </c>
      <c r="B28" s="1">
        <v>30.0</v>
      </c>
    </row>
    <row r="29">
      <c r="A29" s="1" t="s">
        <v>1639</v>
      </c>
      <c r="B29" s="1">
        <v>30.0</v>
      </c>
    </row>
    <row r="30">
      <c r="A30" s="1" t="s">
        <v>1641</v>
      </c>
      <c r="B30" s="1">
        <v>10.0</v>
      </c>
    </row>
    <row r="31">
      <c r="A31" s="1" t="s">
        <v>1643</v>
      </c>
      <c r="B31" s="1">
        <v>20.0</v>
      </c>
    </row>
    <row r="32">
      <c r="A32" s="1" t="s">
        <v>1646</v>
      </c>
      <c r="B32" s="1">
        <v>30.0</v>
      </c>
    </row>
  </sheetData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</cols>
  <sheetData>
    <row r="1">
      <c r="A1" s="79"/>
    </row>
    <row r="2">
      <c r="A2" s="79" t="s">
        <v>1705</v>
      </c>
      <c r="B2" s="1">
        <v>10.0</v>
      </c>
    </row>
    <row r="4">
      <c r="A4" s="79"/>
    </row>
    <row r="5">
      <c r="A5" s="79"/>
    </row>
  </sheetData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11.13"/>
    <col customWidth="1" min="3" max="3" width="26.38"/>
  </cols>
  <sheetData>
    <row r="1">
      <c r="A1" s="1" t="s">
        <v>1706</v>
      </c>
      <c r="B1" s="1">
        <v>25.0</v>
      </c>
      <c r="C1" s="1" t="s">
        <v>1707</v>
      </c>
    </row>
    <row r="2">
      <c r="A2" s="1" t="s">
        <v>1708</v>
      </c>
      <c r="B2" s="1">
        <v>30.0</v>
      </c>
    </row>
  </sheetData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3" max="3" width="24.63"/>
  </cols>
  <sheetData>
    <row r="1">
      <c r="A1" s="1" t="s">
        <v>1709</v>
      </c>
      <c r="B1" s="1">
        <v>10.0</v>
      </c>
    </row>
    <row r="2">
      <c r="A2" s="1" t="s">
        <v>1710</v>
      </c>
      <c r="B2" s="1">
        <v>20.0</v>
      </c>
    </row>
    <row r="3">
      <c r="A3" s="1" t="s">
        <v>1711</v>
      </c>
      <c r="B3" s="1">
        <v>30.0</v>
      </c>
    </row>
    <row r="4">
      <c r="A4" s="1" t="s">
        <v>1712</v>
      </c>
      <c r="B4" s="1">
        <v>20.0</v>
      </c>
    </row>
    <row r="5">
      <c r="A5" s="1" t="s">
        <v>1713</v>
      </c>
      <c r="B5" s="1">
        <v>20.0</v>
      </c>
    </row>
    <row r="6">
      <c r="A6" s="1" t="s">
        <v>1715</v>
      </c>
      <c r="B6" s="1">
        <v>39.0</v>
      </c>
    </row>
    <row r="7">
      <c r="A7" s="1" t="s">
        <v>1717</v>
      </c>
      <c r="B7" s="1">
        <v>10.0</v>
      </c>
    </row>
    <row r="8">
      <c r="A8" s="1" t="s">
        <v>1719</v>
      </c>
      <c r="B8" s="1">
        <v>30.0</v>
      </c>
    </row>
    <row r="9">
      <c r="A9" s="1" t="s">
        <v>1722</v>
      </c>
      <c r="B9" s="1">
        <v>10.0</v>
      </c>
    </row>
    <row r="10">
      <c r="A10" s="1" t="s">
        <v>1724</v>
      </c>
      <c r="B10" s="1">
        <v>20.0</v>
      </c>
    </row>
    <row r="11">
      <c r="A11" s="1" t="s">
        <v>1727</v>
      </c>
      <c r="B11" s="1">
        <v>20.0</v>
      </c>
    </row>
    <row r="13">
      <c r="A13" s="1" t="s">
        <v>1729</v>
      </c>
      <c r="B13" s="1">
        <v>20.0</v>
      </c>
    </row>
    <row r="14">
      <c r="A14" s="1" t="s">
        <v>1732</v>
      </c>
      <c r="B14" s="1">
        <v>10.0</v>
      </c>
    </row>
    <row r="15">
      <c r="A15" s="1" t="s">
        <v>1734</v>
      </c>
      <c r="B15" s="1">
        <v>30.0</v>
      </c>
    </row>
    <row r="16">
      <c r="A16" s="1" t="s">
        <v>1737</v>
      </c>
      <c r="B16" s="1">
        <v>30.0</v>
      </c>
    </row>
    <row r="17">
      <c r="A17" s="1" t="s">
        <v>1739</v>
      </c>
      <c r="B17" s="1">
        <v>20.0</v>
      </c>
    </row>
    <row r="18">
      <c r="A18" s="1" t="s">
        <v>1742</v>
      </c>
      <c r="B18" s="1">
        <v>20.0</v>
      </c>
    </row>
    <row r="19">
      <c r="A19" s="1" t="s">
        <v>1744</v>
      </c>
      <c r="B19" s="1">
        <v>10.0</v>
      </c>
    </row>
    <row r="20">
      <c r="A20" s="1" t="s">
        <v>1747</v>
      </c>
      <c r="B20" s="1">
        <v>20.0</v>
      </c>
    </row>
    <row r="21">
      <c r="A21" s="1" t="s">
        <v>1749</v>
      </c>
      <c r="B21" s="1">
        <v>20.0</v>
      </c>
      <c r="C21" s="1"/>
      <c r="D21" s="1"/>
    </row>
    <row r="22">
      <c r="A22" s="1" t="s">
        <v>1753</v>
      </c>
      <c r="B22" s="1">
        <v>20.0</v>
      </c>
    </row>
    <row r="23">
      <c r="A23" s="1" t="s">
        <v>1756</v>
      </c>
      <c r="B23" s="1">
        <v>20.0</v>
      </c>
    </row>
    <row r="24">
      <c r="A24" s="1" t="s">
        <v>1760</v>
      </c>
      <c r="B24" s="1">
        <v>30.0</v>
      </c>
    </row>
    <row r="25">
      <c r="A25" s="1" t="s">
        <v>1762</v>
      </c>
      <c r="B25" s="1">
        <v>20.0</v>
      </c>
    </row>
    <row r="26">
      <c r="A26" s="1" t="s">
        <v>1766</v>
      </c>
      <c r="B26" s="1">
        <v>10.0</v>
      </c>
    </row>
    <row r="27">
      <c r="A27" s="1" t="s">
        <v>1770</v>
      </c>
      <c r="B27" s="1">
        <v>40.0</v>
      </c>
    </row>
    <row r="28">
      <c r="A28" s="1" t="s">
        <v>1772</v>
      </c>
      <c r="B28" s="1">
        <v>30.0</v>
      </c>
    </row>
    <row r="29">
      <c r="A29" s="1" t="s">
        <v>1774</v>
      </c>
      <c r="B29" s="1">
        <v>20.0</v>
      </c>
    </row>
    <row r="30">
      <c r="A30" s="1" t="s">
        <v>1777</v>
      </c>
      <c r="B30" s="1">
        <v>10.0</v>
      </c>
    </row>
    <row r="31">
      <c r="A31" s="1" t="s">
        <v>1778</v>
      </c>
      <c r="B31" s="1">
        <v>60.0</v>
      </c>
    </row>
    <row r="32">
      <c r="A32" s="1" t="s">
        <v>1780</v>
      </c>
      <c r="B32" s="1">
        <v>40.0</v>
      </c>
    </row>
    <row r="33">
      <c r="C33" s="1"/>
    </row>
    <row r="36">
      <c r="C36" s="1"/>
      <c r="D36" s="1"/>
    </row>
  </sheetData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A1" s="1" t="s">
        <v>1714</v>
      </c>
      <c r="B1" s="1">
        <v>30.0</v>
      </c>
    </row>
    <row r="2">
      <c r="A2" s="1" t="s">
        <v>1716</v>
      </c>
      <c r="B2" s="1">
        <v>30.0</v>
      </c>
    </row>
    <row r="3">
      <c r="A3" s="1" t="s">
        <v>1718</v>
      </c>
      <c r="B3" s="1">
        <v>10.0</v>
      </c>
    </row>
    <row r="4">
      <c r="A4" s="1" t="s">
        <v>1720</v>
      </c>
      <c r="B4" s="1">
        <v>30.0</v>
      </c>
    </row>
    <row r="5">
      <c r="A5" s="1" t="s">
        <v>1721</v>
      </c>
      <c r="B5" s="1">
        <v>20.0</v>
      </c>
    </row>
    <row r="6">
      <c r="A6" s="1" t="s">
        <v>1723</v>
      </c>
      <c r="B6" s="1">
        <v>10.0</v>
      </c>
    </row>
    <row r="7">
      <c r="A7" s="1" t="s">
        <v>1725</v>
      </c>
      <c r="B7" s="1">
        <v>20.0</v>
      </c>
    </row>
    <row r="8">
      <c r="A8" s="1" t="s">
        <v>1726</v>
      </c>
      <c r="B8" s="1">
        <v>30.0</v>
      </c>
    </row>
    <row r="9">
      <c r="A9" s="1" t="s">
        <v>1728</v>
      </c>
      <c r="B9" s="1">
        <v>30.0</v>
      </c>
    </row>
    <row r="10">
      <c r="A10" s="1" t="s">
        <v>1730</v>
      </c>
      <c r="B10" s="1">
        <v>20.0</v>
      </c>
    </row>
    <row r="11">
      <c r="A11" s="1" t="s">
        <v>1731</v>
      </c>
      <c r="B11" s="1">
        <v>40.0</v>
      </c>
    </row>
    <row r="12">
      <c r="A12" s="1" t="s">
        <v>1733</v>
      </c>
      <c r="B12" s="1">
        <v>30.0</v>
      </c>
    </row>
    <row r="13">
      <c r="A13" s="1" t="s">
        <v>1735</v>
      </c>
      <c r="B13" s="1">
        <v>30.0</v>
      </c>
    </row>
    <row r="14">
      <c r="A14" s="1" t="s">
        <v>1736</v>
      </c>
      <c r="B14" s="1">
        <v>30.0</v>
      </c>
    </row>
    <row r="15">
      <c r="A15" s="1" t="s">
        <v>1738</v>
      </c>
      <c r="B15" s="1">
        <v>30.0</v>
      </c>
    </row>
    <row r="16">
      <c r="A16" s="1" t="s">
        <v>1740</v>
      </c>
      <c r="B16" s="1">
        <v>20.0</v>
      </c>
    </row>
    <row r="17">
      <c r="A17" s="1" t="s">
        <v>1741</v>
      </c>
      <c r="B17" s="1">
        <v>20.0</v>
      </c>
    </row>
    <row r="18">
      <c r="A18" s="1" t="s">
        <v>1743</v>
      </c>
      <c r="B18" s="1">
        <v>20.0</v>
      </c>
    </row>
    <row r="19">
      <c r="A19" s="1" t="s">
        <v>1745</v>
      </c>
      <c r="B19" s="1">
        <v>20.0</v>
      </c>
    </row>
    <row r="20">
      <c r="A20" s="1" t="s">
        <v>1748</v>
      </c>
      <c r="B20" s="1">
        <v>30.0</v>
      </c>
    </row>
    <row r="21">
      <c r="A21" s="1" t="s">
        <v>1750</v>
      </c>
      <c r="B21" s="1">
        <v>10.0</v>
      </c>
    </row>
    <row r="22">
      <c r="A22" s="1" t="s">
        <v>1752</v>
      </c>
      <c r="B22" s="1">
        <v>20.0</v>
      </c>
    </row>
    <row r="23">
      <c r="A23" s="1" t="s">
        <v>1755</v>
      </c>
      <c r="B23" s="1">
        <v>20.0</v>
      </c>
    </row>
    <row r="24">
      <c r="A24" s="1" t="s">
        <v>1757</v>
      </c>
      <c r="B24" s="1">
        <v>30.0</v>
      </c>
    </row>
    <row r="25">
      <c r="A25" s="1" t="s">
        <v>1759</v>
      </c>
      <c r="B25" s="1">
        <v>30.0</v>
      </c>
    </row>
    <row r="26">
      <c r="A26" s="1" t="s">
        <v>1761</v>
      </c>
      <c r="B26" s="1">
        <v>30.0</v>
      </c>
    </row>
    <row r="27">
      <c r="A27" s="1" t="s">
        <v>1763</v>
      </c>
      <c r="B27" s="1">
        <v>20.0</v>
      </c>
    </row>
    <row r="28">
      <c r="A28" s="1" t="s">
        <v>1765</v>
      </c>
      <c r="B28" s="1">
        <v>30.0</v>
      </c>
    </row>
    <row r="29">
      <c r="A29" s="1" t="s">
        <v>1768</v>
      </c>
      <c r="B29" s="1">
        <v>30.0</v>
      </c>
    </row>
  </sheetData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3" max="3" width="26.63"/>
    <col customWidth="1" min="4" max="5" width="25.88"/>
    <col customWidth="1" min="6" max="6" width="18.25"/>
  </cols>
  <sheetData>
    <row r="1">
      <c r="A1" s="1" t="s">
        <v>1746</v>
      </c>
      <c r="B1" s="1">
        <v>130.0</v>
      </c>
      <c r="C1" s="1" t="s">
        <v>672</v>
      </c>
      <c r="G1" s="89"/>
    </row>
    <row r="2">
      <c r="A2" s="1" t="s">
        <v>1751</v>
      </c>
      <c r="B2" s="1">
        <v>70.0</v>
      </c>
      <c r="C2" s="1" t="s">
        <v>672</v>
      </c>
    </row>
    <row r="3">
      <c r="A3" s="1" t="s">
        <v>1754</v>
      </c>
      <c r="B3" s="1">
        <v>80.0</v>
      </c>
      <c r="C3" s="1" t="s">
        <v>672</v>
      </c>
    </row>
    <row r="4">
      <c r="A4" s="1" t="s">
        <v>1758</v>
      </c>
      <c r="B4" s="1">
        <v>120.0</v>
      </c>
      <c r="C4" s="1" t="s">
        <v>672</v>
      </c>
    </row>
    <row r="5">
      <c r="A5" s="1"/>
      <c r="B5" s="1"/>
      <c r="C5" s="1"/>
    </row>
    <row r="8">
      <c r="A8" s="1" t="s">
        <v>1764</v>
      </c>
      <c r="B8" s="1">
        <v>180.0</v>
      </c>
    </row>
    <row r="12">
      <c r="A12" s="1" t="s">
        <v>1767</v>
      </c>
      <c r="B12" s="1">
        <v>140.0</v>
      </c>
      <c r="C12" s="1" t="s">
        <v>678</v>
      </c>
      <c r="D12" s="1" t="s">
        <v>1769</v>
      </c>
    </row>
    <row r="13">
      <c r="A13" s="1" t="s">
        <v>1771</v>
      </c>
      <c r="B13" s="1">
        <v>20.0</v>
      </c>
      <c r="D13" s="1" t="s">
        <v>1769</v>
      </c>
    </row>
    <row r="14">
      <c r="A14" s="1" t="s">
        <v>1773</v>
      </c>
      <c r="B14" s="1">
        <v>140.0</v>
      </c>
      <c r="D14" s="1" t="s">
        <v>1769</v>
      </c>
    </row>
    <row r="15">
      <c r="A15" s="1" t="s">
        <v>1775</v>
      </c>
      <c r="B15" s="1">
        <v>200.0</v>
      </c>
      <c r="D15" s="1" t="s">
        <v>1769</v>
      </c>
    </row>
    <row r="16">
      <c r="A16" s="1" t="s">
        <v>1776</v>
      </c>
      <c r="B16" s="1">
        <v>20.0</v>
      </c>
      <c r="D16" s="1" t="s">
        <v>1769</v>
      </c>
    </row>
    <row r="17">
      <c r="A17" s="1"/>
      <c r="B17" s="1"/>
      <c r="C17" s="1"/>
    </row>
    <row r="18">
      <c r="A18" s="1" t="s">
        <v>1779</v>
      </c>
      <c r="B18" s="1">
        <v>230.0</v>
      </c>
      <c r="C18" s="1" t="s">
        <v>1078</v>
      </c>
      <c r="D18" s="1" t="s">
        <v>1769</v>
      </c>
    </row>
    <row r="19">
      <c r="A19" s="1" t="s">
        <v>1781</v>
      </c>
      <c r="B19" s="1">
        <v>90.0</v>
      </c>
      <c r="D19" s="1" t="s">
        <v>1769</v>
      </c>
    </row>
    <row r="20">
      <c r="A20" s="1" t="s">
        <v>1782</v>
      </c>
      <c r="B20" s="1">
        <v>150.0</v>
      </c>
      <c r="D20" s="1" t="s">
        <v>1769</v>
      </c>
    </row>
    <row r="21">
      <c r="A21" s="1" t="s">
        <v>1783</v>
      </c>
      <c r="B21" s="1">
        <v>220.0</v>
      </c>
      <c r="D21" s="1" t="s">
        <v>1769</v>
      </c>
    </row>
    <row r="22">
      <c r="A22" s="1" t="s">
        <v>1784</v>
      </c>
      <c r="B22" s="1">
        <v>30.0</v>
      </c>
      <c r="D22" s="1" t="s">
        <v>1769</v>
      </c>
    </row>
  </sheetData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</cols>
  <sheetData>
    <row r="1">
      <c r="A1" s="1" t="s">
        <v>1785</v>
      </c>
      <c r="B1" s="1">
        <v>80.0</v>
      </c>
    </row>
    <row r="2">
      <c r="A2" s="1" t="s">
        <v>1786</v>
      </c>
      <c r="B2" s="1">
        <v>20.0</v>
      </c>
    </row>
    <row r="3">
      <c r="A3" s="1" t="s">
        <v>1787</v>
      </c>
      <c r="B3" s="1">
        <v>10.0</v>
      </c>
    </row>
  </sheetData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3" max="3" width="22.38"/>
  </cols>
  <sheetData>
    <row r="7">
      <c r="A7" s="1" t="s">
        <v>1788</v>
      </c>
      <c r="B7" s="1">
        <v>20.0</v>
      </c>
    </row>
    <row r="8">
      <c r="C8" s="1"/>
      <c r="D8" s="1"/>
    </row>
    <row r="9">
      <c r="A9" s="1" t="s">
        <v>1789</v>
      </c>
      <c r="B9" s="1">
        <v>70.0</v>
      </c>
    </row>
    <row r="10">
      <c r="A10" s="1" t="s">
        <v>1790</v>
      </c>
      <c r="B10" s="1">
        <v>28.0</v>
      </c>
    </row>
  </sheetData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3" max="3" width="23.63"/>
  </cols>
  <sheetData>
    <row r="1">
      <c r="A1" s="1" t="s">
        <v>1792</v>
      </c>
      <c r="B1" s="1">
        <v>80.0</v>
      </c>
    </row>
    <row r="2">
      <c r="A2" s="1" t="s">
        <v>1796</v>
      </c>
      <c r="B2" s="1">
        <v>80.0</v>
      </c>
    </row>
    <row r="5">
      <c r="A5" s="1" t="s">
        <v>1797</v>
      </c>
      <c r="B5" s="1">
        <v>30.0</v>
      </c>
    </row>
    <row r="6">
      <c r="A6" s="1" t="s">
        <v>1798</v>
      </c>
      <c r="B6" s="1">
        <v>160.0</v>
      </c>
    </row>
    <row r="7">
      <c r="A7" s="1" t="s">
        <v>1799</v>
      </c>
      <c r="B7" s="1">
        <v>100.0</v>
      </c>
    </row>
    <row r="15">
      <c r="A15" s="1" t="s">
        <v>1800</v>
      </c>
      <c r="B15" s="1">
        <v>60.0</v>
      </c>
    </row>
    <row r="16">
      <c r="A16" s="1" t="s">
        <v>1801</v>
      </c>
      <c r="B16" s="1">
        <v>70.0</v>
      </c>
    </row>
    <row r="17">
      <c r="A17" s="1" t="s">
        <v>1802</v>
      </c>
      <c r="B17" s="1">
        <v>138.0</v>
      </c>
    </row>
    <row r="18">
      <c r="A18" s="1" t="s">
        <v>1803</v>
      </c>
      <c r="B18" s="1">
        <v>70.0</v>
      </c>
    </row>
    <row r="20">
      <c r="A20" s="1"/>
      <c r="B20" s="1"/>
    </row>
    <row r="21">
      <c r="A21" s="1" t="s">
        <v>1804</v>
      </c>
      <c r="B21" s="1">
        <v>60.0</v>
      </c>
    </row>
    <row r="22">
      <c r="A22" s="1" t="s">
        <v>1805</v>
      </c>
      <c r="B22" s="1">
        <v>90.0</v>
      </c>
    </row>
    <row r="23">
      <c r="A23" s="1" t="s">
        <v>1806</v>
      </c>
      <c r="B23" s="1">
        <v>40.0</v>
      </c>
    </row>
    <row r="26">
      <c r="A26" s="1" t="s">
        <v>1807</v>
      </c>
    </row>
  </sheetData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1" t="s">
        <v>1791</v>
      </c>
      <c r="B1" s="1">
        <v>1060.0</v>
      </c>
      <c r="C1" s="1" t="s">
        <v>1793</v>
      </c>
    </row>
    <row r="2">
      <c r="A2" s="1" t="s">
        <v>1794</v>
      </c>
      <c r="B2" s="1">
        <v>1495.0</v>
      </c>
      <c r="C2" s="1" t="s">
        <v>1795</v>
      </c>
    </row>
  </sheetData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1" t="s">
        <v>1808</v>
      </c>
      <c r="B1" s="1">
        <v>90.0</v>
      </c>
      <c r="C1" s="1" t="s">
        <v>1081</v>
      </c>
    </row>
    <row r="4">
      <c r="A4" s="1" t="s">
        <v>1809</v>
      </c>
      <c r="B4" s="1">
        <v>30.0</v>
      </c>
    </row>
    <row r="6">
      <c r="A6" s="1" t="s">
        <v>1810</v>
      </c>
      <c r="B6" s="1">
        <v>230.0</v>
      </c>
    </row>
    <row r="7">
      <c r="A7" s="1" t="s">
        <v>1811</v>
      </c>
      <c r="B7" s="1">
        <v>10.0</v>
      </c>
    </row>
    <row r="9">
      <c r="A9" s="1" t="s">
        <v>1812</v>
      </c>
      <c r="B9" s="1">
        <v>40.0</v>
      </c>
    </row>
    <row r="10">
      <c r="A10" s="1" t="s">
        <v>1813</v>
      </c>
      <c r="B10" s="1">
        <v>50.0</v>
      </c>
    </row>
    <row r="12">
      <c r="A12" s="1" t="s">
        <v>1814</v>
      </c>
      <c r="B12" s="1">
        <v>120.0</v>
      </c>
    </row>
    <row r="14">
      <c r="A14" s="1" t="s">
        <v>1815</v>
      </c>
      <c r="B14" s="1">
        <v>50.0</v>
      </c>
    </row>
  </sheetData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3" max="3" width="17.38"/>
  </cols>
  <sheetData>
    <row r="1">
      <c r="B1" s="1"/>
    </row>
    <row r="3">
      <c r="A3" s="1" t="s">
        <v>1816</v>
      </c>
      <c r="B3" s="1">
        <v>20.0</v>
      </c>
    </row>
    <row r="4">
      <c r="A4" s="1" t="s">
        <v>1817</v>
      </c>
      <c r="B4" s="1">
        <v>17.0</v>
      </c>
    </row>
    <row r="5">
      <c r="A5" s="1" t="s">
        <v>1818</v>
      </c>
      <c r="B5" s="1">
        <v>17.0</v>
      </c>
    </row>
    <row r="8">
      <c r="A8" s="1" t="s">
        <v>1819</v>
      </c>
      <c r="B8" s="1">
        <v>9.0</v>
      </c>
    </row>
    <row r="13">
      <c r="A13" s="1" t="s">
        <v>1820</v>
      </c>
      <c r="B13" s="1">
        <v>31.0</v>
      </c>
    </row>
  </sheetData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3" max="3" width="25.63"/>
  </cols>
  <sheetData>
    <row r="2">
      <c r="A2" s="1" t="s">
        <v>1821</v>
      </c>
      <c r="B2" s="1">
        <v>20.0</v>
      </c>
    </row>
    <row r="3">
      <c r="A3" s="1" t="s">
        <v>1822</v>
      </c>
      <c r="B3" s="1">
        <v>10.0</v>
      </c>
    </row>
    <row r="4">
      <c r="A4" s="1" t="s">
        <v>1823</v>
      </c>
      <c r="B4" s="1">
        <v>20.0</v>
      </c>
    </row>
    <row r="5">
      <c r="A5" s="1" t="s">
        <v>1824</v>
      </c>
      <c r="B5" s="1">
        <v>20.0</v>
      </c>
    </row>
    <row r="6">
      <c r="A6" s="1" t="s">
        <v>1825</v>
      </c>
      <c r="B6" s="1">
        <v>40.0</v>
      </c>
    </row>
    <row r="7">
      <c r="A7" s="1" t="s">
        <v>1826</v>
      </c>
      <c r="B7" s="1">
        <v>40.0</v>
      </c>
    </row>
    <row r="8">
      <c r="A8" s="1" t="s">
        <v>1827</v>
      </c>
      <c r="B8" s="1">
        <v>40.0</v>
      </c>
    </row>
    <row r="9">
      <c r="A9" s="1" t="s">
        <v>1828</v>
      </c>
      <c r="B9" s="1">
        <v>40.0</v>
      </c>
    </row>
    <row r="10">
      <c r="A10" s="1" t="s">
        <v>1829</v>
      </c>
      <c r="B10" s="1">
        <v>40.0</v>
      </c>
    </row>
    <row r="11">
      <c r="A11" s="1" t="s">
        <v>1830</v>
      </c>
      <c r="B11" s="1">
        <v>30.0</v>
      </c>
    </row>
    <row r="12">
      <c r="A12" s="1" t="s">
        <v>1831</v>
      </c>
      <c r="B12" s="1">
        <v>30.0</v>
      </c>
    </row>
    <row r="13">
      <c r="A13" s="1" t="s">
        <v>1832</v>
      </c>
      <c r="B13" s="1">
        <v>40.0</v>
      </c>
    </row>
    <row r="14">
      <c r="A14" s="1" t="s">
        <v>1833</v>
      </c>
      <c r="B14" s="1">
        <v>30.0</v>
      </c>
    </row>
    <row r="15">
      <c r="A15" s="1" t="s">
        <v>1834</v>
      </c>
      <c r="B15" s="1">
        <v>30.0</v>
      </c>
    </row>
    <row r="16">
      <c r="A16" s="1" t="s">
        <v>1835</v>
      </c>
      <c r="B16" s="1">
        <v>40.0</v>
      </c>
    </row>
    <row r="17">
      <c r="A17" s="1" t="s">
        <v>1836</v>
      </c>
      <c r="B17" s="1">
        <v>40.0</v>
      </c>
    </row>
    <row r="18">
      <c r="A18" s="1" t="s">
        <v>1837</v>
      </c>
      <c r="B18" s="1">
        <v>40.0</v>
      </c>
    </row>
    <row r="19">
      <c r="A19" s="1"/>
    </row>
    <row r="24">
      <c r="A24" s="1" t="s">
        <v>1838</v>
      </c>
      <c r="B24" s="1">
        <v>20.0</v>
      </c>
    </row>
    <row r="26">
      <c r="A26" s="1" t="s">
        <v>1839</v>
      </c>
      <c r="B26" s="1">
        <v>30.0</v>
      </c>
    </row>
    <row r="27">
      <c r="A27" s="1" t="s">
        <v>1840</v>
      </c>
      <c r="B27" s="1">
        <v>30.0</v>
      </c>
    </row>
    <row r="28">
      <c r="A28" s="1" t="s">
        <v>1841</v>
      </c>
      <c r="B28" s="1">
        <v>40.0</v>
      </c>
    </row>
    <row r="34">
      <c r="A34" s="1" t="s">
        <v>1842</v>
      </c>
      <c r="B34" s="1">
        <v>40.0</v>
      </c>
    </row>
    <row r="35">
      <c r="A35" s="1" t="s">
        <v>1843</v>
      </c>
      <c r="B35" s="1">
        <v>40.0</v>
      </c>
    </row>
    <row r="36">
      <c r="A36" s="1" t="s">
        <v>1844</v>
      </c>
      <c r="B36" s="1">
        <v>30.0</v>
      </c>
    </row>
    <row r="37">
      <c r="A37" s="1" t="s">
        <v>1845</v>
      </c>
      <c r="B37" s="1">
        <v>40.0</v>
      </c>
    </row>
    <row r="38">
      <c r="A38" s="1" t="s">
        <v>1846</v>
      </c>
      <c r="B38" s="1">
        <v>40.0</v>
      </c>
    </row>
    <row r="39">
      <c r="A39" s="1" t="s">
        <v>1847</v>
      </c>
      <c r="B39" s="1">
        <v>40.0</v>
      </c>
    </row>
    <row r="40">
      <c r="A40" s="1" t="s">
        <v>1848</v>
      </c>
      <c r="B40" s="1">
        <v>10.0</v>
      </c>
    </row>
    <row r="41">
      <c r="A41" s="1" t="s">
        <v>1849</v>
      </c>
      <c r="B41" s="1">
        <v>20.0</v>
      </c>
    </row>
    <row r="42">
      <c r="A42" s="1" t="s">
        <v>1850</v>
      </c>
      <c r="B42" s="1">
        <v>30.0</v>
      </c>
    </row>
    <row r="43">
      <c r="A43" s="1" t="s">
        <v>1851</v>
      </c>
      <c r="B43" s="1">
        <v>30.0</v>
      </c>
    </row>
    <row r="44">
      <c r="A44" s="1" t="s">
        <v>1852</v>
      </c>
      <c r="B44" s="1">
        <v>30.0</v>
      </c>
    </row>
    <row r="45">
      <c r="A45" s="1" t="s">
        <v>1854</v>
      </c>
      <c r="B45" s="1">
        <v>40.0</v>
      </c>
    </row>
    <row r="46">
      <c r="A46" s="1" t="s">
        <v>1856</v>
      </c>
      <c r="B46" s="1">
        <v>40.0</v>
      </c>
    </row>
    <row r="47">
      <c r="A47" s="1" t="s">
        <v>1858</v>
      </c>
      <c r="B47" s="1">
        <v>40.0</v>
      </c>
    </row>
    <row r="48">
      <c r="A48" s="1" t="s">
        <v>1860</v>
      </c>
      <c r="B48" s="1">
        <v>10.0</v>
      </c>
    </row>
    <row r="49">
      <c r="A49" s="1" t="s">
        <v>1862</v>
      </c>
      <c r="B49" s="1">
        <v>20.0</v>
      </c>
    </row>
    <row r="50">
      <c r="A50" s="1" t="s">
        <v>1863</v>
      </c>
      <c r="B50" s="1">
        <v>30.0</v>
      </c>
    </row>
    <row r="51">
      <c r="A51" s="1"/>
    </row>
    <row r="52">
      <c r="A52" s="1" t="s">
        <v>1864</v>
      </c>
      <c r="B52" s="1">
        <v>40.0</v>
      </c>
    </row>
    <row r="53">
      <c r="A53" s="1" t="s">
        <v>1865</v>
      </c>
      <c r="B53" s="1">
        <v>40.0</v>
      </c>
    </row>
    <row r="54">
      <c r="A54" s="1" t="s">
        <v>1866</v>
      </c>
      <c r="B54" s="1">
        <v>40.0</v>
      </c>
    </row>
    <row r="55">
      <c r="A55" s="1" t="s">
        <v>1867</v>
      </c>
      <c r="B55" s="1">
        <v>40.0</v>
      </c>
    </row>
    <row r="56">
      <c r="A56" s="1" t="s">
        <v>1868</v>
      </c>
      <c r="B56" s="1">
        <v>40.0</v>
      </c>
    </row>
    <row r="57">
      <c r="A57" s="1" t="s">
        <v>1869</v>
      </c>
      <c r="B57" s="1">
        <v>40.0</v>
      </c>
    </row>
    <row r="58">
      <c r="A58" s="1" t="s">
        <v>1870</v>
      </c>
      <c r="B58" s="1">
        <v>40.0</v>
      </c>
    </row>
    <row r="59">
      <c r="A59" s="1" t="s">
        <v>1871</v>
      </c>
      <c r="B59" s="1">
        <v>40.0</v>
      </c>
    </row>
    <row r="60">
      <c r="A60" s="1" t="s">
        <v>1872</v>
      </c>
      <c r="B60" s="1">
        <v>40.0</v>
      </c>
    </row>
    <row r="61">
      <c r="A61" s="1" t="s">
        <v>1873</v>
      </c>
      <c r="B61" s="1">
        <v>40.0</v>
      </c>
    </row>
    <row r="62">
      <c r="A62" s="1" t="s">
        <v>1874</v>
      </c>
      <c r="B62" s="1">
        <v>40.0</v>
      </c>
    </row>
    <row r="63">
      <c r="A63" s="1" t="s">
        <v>1875</v>
      </c>
      <c r="B63" s="1">
        <v>40.0</v>
      </c>
    </row>
    <row r="64">
      <c r="A64" s="1" t="s">
        <v>1876</v>
      </c>
      <c r="B64" s="1">
        <v>40.0</v>
      </c>
    </row>
    <row r="65">
      <c r="A65" s="1" t="s">
        <v>1877</v>
      </c>
      <c r="B65" s="1">
        <v>40.0</v>
      </c>
    </row>
    <row r="66">
      <c r="A66" s="1" t="s">
        <v>1878</v>
      </c>
      <c r="B66" s="1">
        <v>20.0</v>
      </c>
    </row>
    <row r="67">
      <c r="A67" s="1" t="s">
        <v>1879</v>
      </c>
      <c r="B67" s="1">
        <v>20.0</v>
      </c>
    </row>
  </sheetData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3" max="3" width="15.38"/>
  </cols>
  <sheetData>
    <row r="1">
      <c r="A1" s="1" t="s">
        <v>1853</v>
      </c>
      <c r="B1" s="1">
        <v>50.0</v>
      </c>
    </row>
    <row r="3">
      <c r="A3" s="1" t="s">
        <v>1855</v>
      </c>
      <c r="B3" s="1">
        <v>100.0</v>
      </c>
    </row>
    <row r="4">
      <c r="A4" s="1" t="s">
        <v>1857</v>
      </c>
      <c r="B4" s="1">
        <v>50.0</v>
      </c>
    </row>
    <row r="5">
      <c r="A5" s="1" t="s">
        <v>1859</v>
      </c>
      <c r="B5" s="1">
        <v>50.0</v>
      </c>
    </row>
    <row r="6">
      <c r="A6" s="1" t="s">
        <v>1861</v>
      </c>
      <c r="B6" s="1">
        <v>30.0</v>
      </c>
    </row>
  </sheetData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3" max="3" width="22.13"/>
    <col customWidth="1" min="5" max="5" width="32.88"/>
  </cols>
  <sheetData>
    <row r="1">
      <c r="A1" s="1" t="s">
        <v>1880</v>
      </c>
      <c r="B1" s="1">
        <v>100.0</v>
      </c>
    </row>
    <row r="2">
      <c r="A2" s="1" t="s">
        <v>1881</v>
      </c>
      <c r="B2" s="1">
        <v>69.0</v>
      </c>
    </row>
    <row r="4">
      <c r="A4" s="1" t="s">
        <v>1882</v>
      </c>
      <c r="B4" s="1">
        <v>20.0</v>
      </c>
    </row>
    <row r="5">
      <c r="A5" s="1" t="s">
        <v>1883</v>
      </c>
      <c r="B5" s="1">
        <v>100.0</v>
      </c>
    </row>
    <row r="6">
      <c r="A6" s="1" t="s">
        <v>1884</v>
      </c>
      <c r="B6" s="1">
        <v>80.0</v>
      </c>
    </row>
    <row r="7">
      <c r="A7" s="1" t="s">
        <v>1885</v>
      </c>
      <c r="B7" s="1">
        <v>20.0</v>
      </c>
    </row>
    <row r="9">
      <c r="A9" s="1" t="s">
        <v>1886</v>
      </c>
      <c r="B9" s="1">
        <v>120.0</v>
      </c>
    </row>
    <row r="10">
      <c r="A10" s="1" t="s">
        <v>1887</v>
      </c>
      <c r="B10" s="1">
        <v>110.0</v>
      </c>
    </row>
    <row r="11">
      <c r="A11" s="1" t="s">
        <v>1888</v>
      </c>
      <c r="B11" s="1">
        <v>120.0</v>
      </c>
    </row>
    <row r="12">
      <c r="A12" s="1" t="s">
        <v>1889</v>
      </c>
      <c r="B12" s="1">
        <v>70.0</v>
      </c>
    </row>
    <row r="13">
      <c r="A13" s="1" t="s">
        <v>1890</v>
      </c>
      <c r="B13" s="1">
        <v>50.0</v>
      </c>
    </row>
    <row r="14">
      <c r="A14" s="1" t="s">
        <v>1891</v>
      </c>
      <c r="B14" s="1">
        <v>30.0</v>
      </c>
    </row>
    <row r="16">
      <c r="A16" s="1" t="s">
        <v>1892</v>
      </c>
      <c r="B16" s="1">
        <v>20.0</v>
      </c>
    </row>
    <row r="17">
      <c r="A17" s="1" t="s">
        <v>1893</v>
      </c>
      <c r="B17" s="1">
        <v>40.0</v>
      </c>
    </row>
    <row r="18">
      <c r="A18" s="1" t="s">
        <v>1894</v>
      </c>
      <c r="B18" s="1">
        <v>20.0</v>
      </c>
    </row>
    <row r="20">
      <c r="A20" s="1" t="s">
        <v>1895</v>
      </c>
      <c r="B20" s="1">
        <v>50.0</v>
      </c>
    </row>
    <row r="21">
      <c r="A21" s="1" t="s">
        <v>1896</v>
      </c>
      <c r="B21" s="1">
        <v>30.0</v>
      </c>
    </row>
    <row r="22">
      <c r="A22" s="1" t="s">
        <v>1897</v>
      </c>
      <c r="B22" s="1">
        <v>10.0</v>
      </c>
    </row>
    <row r="23">
      <c r="A23" s="1" t="s">
        <v>1898</v>
      </c>
      <c r="B23" s="1">
        <v>10.0</v>
      </c>
    </row>
    <row r="24">
      <c r="A24" s="1" t="s">
        <v>1899</v>
      </c>
      <c r="B24" s="1">
        <v>30.0</v>
      </c>
    </row>
    <row r="25">
      <c r="A25" s="1" t="s">
        <v>1900</v>
      </c>
      <c r="B25" s="1">
        <v>40.0</v>
      </c>
    </row>
    <row r="26">
      <c r="A26" s="1" t="s">
        <v>1901</v>
      </c>
      <c r="B26" s="1">
        <v>80.0</v>
      </c>
    </row>
    <row r="27">
      <c r="A27" s="1" t="s">
        <v>1902</v>
      </c>
      <c r="B27" s="1">
        <v>39.0</v>
      </c>
    </row>
    <row r="28">
      <c r="A28" s="1" t="s">
        <v>1903</v>
      </c>
      <c r="B28" s="1">
        <v>20.0</v>
      </c>
    </row>
    <row r="29">
      <c r="A29" s="1" t="s">
        <v>1904</v>
      </c>
      <c r="B29" s="1">
        <v>40.0</v>
      </c>
    </row>
    <row r="30">
      <c r="A30" s="1"/>
      <c r="B30" s="1"/>
    </row>
    <row r="31">
      <c r="A31" s="1" t="s">
        <v>1905</v>
      </c>
      <c r="B31" s="1">
        <v>90.0</v>
      </c>
    </row>
    <row r="32">
      <c r="A32" s="1" t="s">
        <v>1907</v>
      </c>
      <c r="B32" s="1">
        <v>40.0</v>
      </c>
    </row>
    <row r="33">
      <c r="A33" s="1" t="s">
        <v>1908</v>
      </c>
      <c r="B33" s="1">
        <v>40.0</v>
      </c>
    </row>
    <row r="34">
      <c r="A34" s="1" t="s">
        <v>1909</v>
      </c>
      <c r="B34" s="1">
        <v>60.0</v>
      </c>
    </row>
    <row r="35">
      <c r="A35" s="1" t="s">
        <v>1910</v>
      </c>
      <c r="B35" s="1">
        <v>20.0</v>
      </c>
    </row>
    <row r="37">
      <c r="A37" s="1" t="s">
        <v>1912</v>
      </c>
      <c r="B37" s="1">
        <v>20.0</v>
      </c>
    </row>
    <row r="38">
      <c r="A38" s="1" t="s">
        <v>1913</v>
      </c>
      <c r="B38" s="1">
        <v>50.0</v>
      </c>
    </row>
    <row r="40">
      <c r="A40" s="1" t="s">
        <v>1914</v>
      </c>
      <c r="B40" s="1">
        <v>81.0</v>
      </c>
    </row>
    <row r="41">
      <c r="A41" s="1" t="s">
        <v>1915</v>
      </c>
      <c r="B41" s="1">
        <v>40.0</v>
      </c>
    </row>
    <row r="42">
      <c r="A42" s="1" t="s">
        <v>1917</v>
      </c>
      <c r="B42" s="1">
        <v>40.0</v>
      </c>
    </row>
    <row r="43">
      <c r="A43" s="1" t="s">
        <v>1918</v>
      </c>
      <c r="B43" s="1">
        <v>40.0</v>
      </c>
    </row>
    <row r="45">
      <c r="A45" s="1" t="s">
        <v>1919</v>
      </c>
      <c r="B45" s="1">
        <v>29.0</v>
      </c>
    </row>
    <row r="46">
      <c r="A46" s="1" t="s">
        <v>1920</v>
      </c>
      <c r="B46" s="1">
        <v>40.0</v>
      </c>
    </row>
    <row r="47">
      <c r="A47" s="1" t="s">
        <v>1921</v>
      </c>
      <c r="B47" s="1">
        <v>80.0</v>
      </c>
    </row>
    <row r="48">
      <c r="A48" s="1" t="s">
        <v>1922</v>
      </c>
      <c r="B48" s="1">
        <v>40.0</v>
      </c>
    </row>
    <row r="49">
      <c r="A49" s="1" t="s">
        <v>1923</v>
      </c>
      <c r="B49" s="1">
        <v>40.0</v>
      </c>
    </row>
    <row r="50">
      <c r="A50" s="1" t="s">
        <v>1924</v>
      </c>
      <c r="B50" s="1">
        <v>40.0</v>
      </c>
    </row>
    <row r="51">
      <c r="A51" s="1" t="s">
        <v>1925</v>
      </c>
      <c r="B51" s="1">
        <v>30.0</v>
      </c>
    </row>
    <row r="52">
      <c r="A52" s="1" t="s">
        <v>1926</v>
      </c>
      <c r="B52" s="1">
        <v>20.0</v>
      </c>
    </row>
    <row r="54">
      <c r="A54" s="1"/>
      <c r="B54" s="1"/>
    </row>
    <row r="55">
      <c r="A55" s="1" t="s">
        <v>1927</v>
      </c>
      <c r="B55" s="1">
        <v>10.0</v>
      </c>
    </row>
    <row r="56">
      <c r="A56" s="1" t="s">
        <v>1928</v>
      </c>
      <c r="B56" s="1">
        <v>20.0</v>
      </c>
    </row>
    <row r="57">
      <c r="A57" s="1" t="s">
        <v>1929</v>
      </c>
      <c r="B57" s="1">
        <v>30.0</v>
      </c>
    </row>
    <row r="58">
      <c r="A58" s="1" t="s">
        <v>1930</v>
      </c>
      <c r="B58" s="1">
        <v>40.0</v>
      </c>
    </row>
    <row r="60">
      <c r="A60" s="1" t="s">
        <v>1931</v>
      </c>
      <c r="B60" s="1">
        <v>20.0</v>
      </c>
    </row>
    <row r="61">
      <c r="A61" s="1" t="s">
        <v>1932</v>
      </c>
      <c r="B61" s="1">
        <v>20.0</v>
      </c>
    </row>
    <row r="63">
      <c r="A63" s="1" t="s">
        <v>1933</v>
      </c>
      <c r="B63" s="1">
        <v>20.0</v>
      </c>
    </row>
    <row r="64">
      <c r="A64" s="1" t="s">
        <v>1934</v>
      </c>
      <c r="B64" s="1">
        <v>30.0</v>
      </c>
    </row>
    <row r="65">
      <c r="A65" s="1" t="s">
        <v>1935</v>
      </c>
      <c r="B65" s="1">
        <v>10.0</v>
      </c>
    </row>
    <row r="66">
      <c r="A66" s="1" t="s">
        <v>1936</v>
      </c>
      <c r="B66" s="1">
        <v>20.0</v>
      </c>
    </row>
    <row r="67">
      <c r="A67" s="1" t="s">
        <v>1937</v>
      </c>
      <c r="B67" s="1">
        <v>20.0</v>
      </c>
    </row>
    <row r="69">
      <c r="A69" s="1" t="s">
        <v>1938</v>
      </c>
      <c r="B69" s="1">
        <v>30.0</v>
      </c>
    </row>
    <row r="70">
      <c r="A70" s="1" t="s">
        <v>1939</v>
      </c>
      <c r="B70" s="1">
        <v>30.0</v>
      </c>
    </row>
    <row r="71">
      <c r="A71" s="1" t="s">
        <v>1940</v>
      </c>
      <c r="B71" s="1">
        <v>30.0</v>
      </c>
    </row>
    <row r="82">
      <c r="A82" s="1"/>
    </row>
  </sheetData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3" max="3" width="18.25"/>
  </cols>
  <sheetData>
    <row r="3">
      <c r="C3" s="1"/>
      <c r="D3" s="1"/>
    </row>
    <row r="6">
      <c r="A6" s="1" t="s">
        <v>1906</v>
      </c>
      <c r="B6" s="1">
        <v>30.0</v>
      </c>
    </row>
    <row r="7">
      <c r="C7" s="1"/>
      <c r="D7" s="1"/>
    </row>
    <row r="8">
      <c r="C8" s="1"/>
      <c r="D8" s="1"/>
    </row>
    <row r="9">
      <c r="C9" s="1"/>
      <c r="D9" s="1"/>
    </row>
    <row r="11">
      <c r="A11" s="1" t="s">
        <v>1911</v>
      </c>
      <c r="B11" s="1">
        <v>70.0</v>
      </c>
    </row>
    <row r="12">
      <c r="C12" s="1"/>
      <c r="D12" s="1"/>
    </row>
    <row r="13">
      <c r="A13" s="1"/>
      <c r="B13" s="1"/>
      <c r="C13" s="1"/>
      <c r="D13" s="1"/>
    </row>
    <row r="20">
      <c r="A20" s="1" t="s">
        <v>1916</v>
      </c>
      <c r="B20" s="1">
        <v>20.0</v>
      </c>
    </row>
    <row r="21">
      <c r="A21" s="1"/>
      <c r="B21" s="1"/>
    </row>
    <row r="25">
      <c r="C25" s="1"/>
      <c r="D25" s="1"/>
    </row>
  </sheetData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</cols>
  <sheetData>
    <row r="1">
      <c r="A1" s="1" t="s">
        <v>1941</v>
      </c>
      <c r="B1" s="1">
        <v>29.0</v>
      </c>
    </row>
    <row r="2">
      <c r="A2" s="1" t="s">
        <v>1942</v>
      </c>
      <c r="B2" s="1">
        <v>40.0</v>
      </c>
    </row>
    <row r="3">
      <c r="A3" s="1" t="s">
        <v>1943</v>
      </c>
      <c r="B3" s="1">
        <v>40.0</v>
      </c>
    </row>
    <row r="4">
      <c r="A4" s="1" t="s">
        <v>1944</v>
      </c>
      <c r="B4" s="1">
        <v>39.0</v>
      </c>
    </row>
    <row r="5">
      <c r="A5" s="1" t="s">
        <v>1945</v>
      </c>
      <c r="B5" s="1">
        <v>30.0</v>
      </c>
    </row>
    <row r="6">
      <c r="A6" s="1" t="s">
        <v>1946</v>
      </c>
      <c r="B6" s="1">
        <v>40.0</v>
      </c>
    </row>
    <row r="7">
      <c r="A7" s="1" t="s">
        <v>1947</v>
      </c>
      <c r="B7" s="1">
        <v>40.0</v>
      </c>
    </row>
    <row r="8">
      <c r="A8" s="1" t="s">
        <v>1948</v>
      </c>
      <c r="B8" s="1">
        <v>40.0</v>
      </c>
    </row>
    <row r="9">
      <c r="A9" s="1" t="s">
        <v>1949</v>
      </c>
      <c r="B9" s="1">
        <v>30.0</v>
      </c>
    </row>
    <row r="10">
      <c r="A10" s="1" t="s">
        <v>1950</v>
      </c>
      <c r="B10" s="1">
        <v>40.0</v>
      </c>
    </row>
    <row r="11">
      <c r="A11" s="1" t="s">
        <v>1951</v>
      </c>
      <c r="B11" s="1">
        <v>40.0</v>
      </c>
    </row>
    <row r="12">
      <c r="A12" s="1" t="s">
        <v>1952</v>
      </c>
      <c r="B12" s="1">
        <v>40.0</v>
      </c>
    </row>
    <row r="13">
      <c r="A13" s="1" t="s">
        <v>1953</v>
      </c>
      <c r="B13" s="1">
        <v>38.0</v>
      </c>
    </row>
    <row r="14">
      <c r="A14" s="1" t="s">
        <v>1954</v>
      </c>
      <c r="B14" s="1">
        <v>40.0</v>
      </c>
    </row>
    <row r="15">
      <c r="A15" s="1" t="s">
        <v>1955</v>
      </c>
      <c r="B15" s="1">
        <v>37.0</v>
      </c>
    </row>
    <row r="16">
      <c r="A16" s="1" t="s">
        <v>1956</v>
      </c>
      <c r="B16" s="1">
        <v>39.0</v>
      </c>
    </row>
    <row r="17">
      <c r="A17" s="1" t="s">
        <v>1957</v>
      </c>
      <c r="B17" s="1">
        <v>20.0</v>
      </c>
    </row>
    <row r="18">
      <c r="A18" s="1" t="s">
        <v>1958</v>
      </c>
      <c r="B18" s="1">
        <v>40.0</v>
      </c>
    </row>
    <row r="19">
      <c r="A19" s="1" t="s">
        <v>1959</v>
      </c>
      <c r="B19" s="1">
        <v>40.0</v>
      </c>
    </row>
    <row r="20">
      <c r="A20" s="1" t="s">
        <v>1960</v>
      </c>
      <c r="B20" s="1">
        <v>39.0</v>
      </c>
    </row>
    <row r="21">
      <c r="A21" s="1" t="s">
        <v>1961</v>
      </c>
      <c r="B21" s="1">
        <v>40.0</v>
      </c>
    </row>
    <row r="22">
      <c r="A22" s="1" t="s">
        <v>1962</v>
      </c>
      <c r="B22" s="1">
        <v>40.0</v>
      </c>
    </row>
    <row r="23">
      <c r="A23" s="1" t="s">
        <v>1963</v>
      </c>
      <c r="B23" s="1">
        <v>40.0</v>
      </c>
    </row>
    <row r="24">
      <c r="A24" s="1" t="s">
        <v>1964</v>
      </c>
      <c r="B24" s="1">
        <v>40.0</v>
      </c>
    </row>
    <row r="25">
      <c r="A25" s="1" t="s">
        <v>1965</v>
      </c>
      <c r="B25" s="1">
        <v>30.0</v>
      </c>
    </row>
    <row r="26">
      <c r="A26" s="1" t="s">
        <v>1966</v>
      </c>
      <c r="B26" s="1">
        <v>38.0</v>
      </c>
    </row>
    <row r="27">
      <c r="A27" s="1" t="s">
        <v>1967</v>
      </c>
      <c r="B27" s="1">
        <v>39.0</v>
      </c>
    </row>
    <row r="28">
      <c r="A28" s="1" t="s">
        <v>1968</v>
      </c>
      <c r="B28" s="1">
        <v>40.0</v>
      </c>
    </row>
    <row r="29">
      <c r="A29" s="1" t="s">
        <v>1969</v>
      </c>
      <c r="B29" s="1">
        <v>30.0</v>
      </c>
    </row>
    <row r="30">
      <c r="A30" s="1" t="s">
        <v>1970</v>
      </c>
      <c r="B30" s="1">
        <v>40.0</v>
      </c>
    </row>
    <row r="31">
      <c r="A31" s="1" t="s">
        <v>1971</v>
      </c>
      <c r="B31" s="1">
        <v>40.0</v>
      </c>
    </row>
    <row r="32">
      <c r="A32" s="1" t="s">
        <v>1972</v>
      </c>
      <c r="B32" s="1">
        <v>40.0</v>
      </c>
    </row>
    <row r="33">
      <c r="A33" s="1" t="s">
        <v>1973</v>
      </c>
      <c r="B33" s="1">
        <v>10.0</v>
      </c>
    </row>
    <row r="34">
      <c r="A34" s="1" t="s">
        <v>1974</v>
      </c>
      <c r="B34" s="1">
        <v>30.0</v>
      </c>
    </row>
    <row r="35">
      <c r="A35" s="1" t="s">
        <v>1975</v>
      </c>
      <c r="B35" s="1">
        <v>30.0</v>
      </c>
    </row>
    <row r="36">
      <c r="A36" s="1" t="s">
        <v>1976</v>
      </c>
      <c r="B36" s="1">
        <v>20.0</v>
      </c>
    </row>
    <row r="37">
      <c r="A37" s="1"/>
      <c r="B37" s="1"/>
    </row>
    <row r="40">
      <c r="A40" s="1" t="s">
        <v>1977</v>
      </c>
      <c r="B40" s="1">
        <v>10.0</v>
      </c>
    </row>
    <row r="43">
      <c r="A43" s="1" t="s">
        <v>1978</v>
      </c>
      <c r="B43" s="1">
        <v>11.0</v>
      </c>
    </row>
    <row r="44">
      <c r="A44" s="1" t="s">
        <v>1979</v>
      </c>
      <c r="B44" s="1">
        <v>40.0</v>
      </c>
    </row>
    <row r="46">
      <c r="A46" s="1" t="s">
        <v>1980</v>
      </c>
      <c r="B46" s="1">
        <v>20.0</v>
      </c>
    </row>
    <row r="48">
      <c r="A48" s="1" t="s">
        <v>1981</v>
      </c>
      <c r="B48" s="1">
        <v>40.0</v>
      </c>
    </row>
    <row r="49">
      <c r="A49" s="1" t="s">
        <v>1982</v>
      </c>
      <c r="B49" s="1">
        <v>19.0</v>
      </c>
    </row>
    <row r="50">
      <c r="A50" s="1" t="s">
        <v>1984</v>
      </c>
      <c r="B50" s="1">
        <v>40.0</v>
      </c>
    </row>
    <row r="51">
      <c r="A51" s="1" t="s">
        <v>1985</v>
      </c>
      <c r="B51" s="1">
        <v>40.0</v>
      </c>
    </row>
    <row r="52">
      <c r="A52" s="1" t="s">
        <v>1987</v>
      </c>
      <c r="B52" s="1">
        <v>39.0</v>
      </c>
    </row>
    <row r="53">
      <c r="A53" s="1" t="s">
        <v>1988</v>
      </c>
      <c r="B53" s="1">
        <v>40.0</v>
      </c>
    </row>
    <row r="54">
      <c r="A54" s="1" t="s">
        <v>1989</v>
      </c>
      <c r="B54" s="1">
        <v>10.0</v>
      </c>
    </row>
    <row r="55">
      <c r="A55" s="1" t="s">
        <v>1990</v>
      </c>
      <c r="B55" s="1">
        <v>30.0</v>
      </c>
    </row>
    <row r="56">
      <c r="A56" s="1" t="s">
        <v>1991</v>
      </c>
      <c r="B56" s="1">
        <v>40.0</v>
      </c>
    </row>
    <row r="57">
      <c r="A57" s="1" t="s">
        <v>1993</v>
      </c>
      <c r="B57" s="1">
        <v>37.0</v>
      </c>
    </row>
    <row r="58">
      <c r="A58" s="1" t="s">
        <v>1995</v>
      </c>
      <c r="B58" s="1">
        <v>38.0</v>
      </c>
    </row>
    <row r="59">
      <c r="A59" s="1" t="s">
        <v>1997</v>
      </c>
      <c r="B59" s="1">
        <v>40.0</v>
      </c>
    </row>
    <row r="60">
      <c r="A60" s="1" t="s">
        <v>1998</v>
      </c>
      <c r="B60" s="1">
        <v>40.0</v>
      </c>
    </row>
    <row r="61">
      <c r="A61" s="1" t="s">
        <v>2002</v>
      </c>
      <c r="B61" s="1">
        <v>40.0</v>
      </c>
    </row>
    <row r="62">
      <c r="A62" s="1" t="s">
        <v>2006</v>
      </c>
      <c r="B62" s="1">
        <v>10.0</v>
      </c>
    </row>
    <row r="63">
      <c r="A63" s="1" t="s">
        <v>2011</v>
      </c>
      <c r="B63" s="1">
        <v>30.0</v>
      </c>
    </row>
    <row r="64">
      <c r="A64" s="1" t="s">
        <v>2016</v>
      </c>
      <c r="B64" s="1">
        <v>39.0</v>
      </c>
    </row>
    <row r="65">
      <c r="A65" s="1" t="s">
        <v>2020</v>
      </c>
      <c r="B65" s="1">
        <v>40.0</v>
      </c>
    </row>
    <row r="66">
      <c r="A66" s="1" t="s">
        <v>2024</v>
      </c>
      <c r="B66" s="1">
        <v>30.0</v>
      </c>
    </row>
    <row r="67">
      <c r="A67" s="1" t="s">
        <v>2028</v>
      </c>
      <c r="B67" s="1">
        <v>20.0</v>
      </c>
    </row>
    <row r="68">
      <c r="A68" s="1" t="s">
        <v>2031</v>
      </c>
      <c r="B68" s="1">
        <v>39.0</v>
      </c>
    </row>
    <row r="69">
      <c r="A69" s="1" t="s">
        <v>2034</v>
      </c>
      <c r="B69" s="1">
        <v>40.0</v>
      </c>
    </row>
    <row r="70">
      <c r="A70" s="1"/>
      <c r="B70" s="1"/>
    </row>
    <row r="71">
      <c r="A71" s="1" t="s">
        <v>2037</v>
      </c>
      <c r="B71" s="1">
        <v>10.0</v>
      </c>
    </row>
    <row r="72">
      <c r="A72" s="1" t="s">
        <v>2038</v>
      </c>
      <c r="B72" s="1">
        <v>9.0</v>
      </c>
    </row>
    <row r="73">
      <c r="A73" s="1" t="s">
        <v>2039</v>
      </c>
      <c r="B73" s="1">
        <v>30.0</v>
      </c>
    </row>
    <row r="74">
      <c r="A74" s="1" t="s">
        <v>2040</v>
      </c>
      <c r="B74" s="1">
        <v>29.0</v>
      </c>
    </row>
    <row r="75">
      <c r="A75" s="1" t="s">
        <v>2041</v>
      </c>
      <c r="B75" s="1">
        <v>30.0</v>
      </c>
    </row>
    <row r="76">
      <c r="A76" s="1" t="s">
        <v>2042</v>
      </c>
      <c r="B76" s="1">
        <v>20.0</v>
      </c>
    </row>
    <row r="77">
      <c r="A77" s="1" t="s">
        <v>2043</v>
      </c>
      <c r="B77" s="1">
        <v>30.0</v>
      </c>
    </row>
    <row r="78">
      <c r="A78" s="1" t="s">
        <v>2044</v>
      </c>
      <c r="B78" s="1">
        <v>40.0</v>
      </c>
    </row>
    <row r="79">
      <c r="A79" s="1" t="s">
        <v>2045</v>
      </c>
      <c r="B79" s="1">
        <v>40.0</v>
      </c>
    </row>
    <row r="80">
      <c r="A80" s="1" t="s">
        <v>2046</v>
      </c>
      <c r="B80" s="1">
        <v>40.0</v>
      </c>
    </row>
    <row r="81">
      <c r="A81" s="1" t="s">
        <v>2047</v>
      </c>
      <c r="B81" s="1">
        <v>20.0</v>
      </c>
    </row>
    <row r="82">
      <c r="A82" s="1" t="s">
        <v>2048</v>
      </c>
      <c r="B82" s="1">
        <v>40.0</v>
      </c>
    </row>
    <row r="83">
      <c r="A83" s="1" t="s">
        <v>2049</v>
      </c>
      <c r="B83" s="1">
        <v>10.0</v>
      </c>
    </row>
    <row r="84">
      <c r="A84" s="1" t="s">
        <v>2050</v>
      </c>
      <c r="B84" s="1">
        <v>40.0</v>
      </c>
    </row>
    <row r="85">
      <c r="A85" s="1" t="s">
        <v>2051</v>
      </c>
      <c r="B85" s="1">
        <v>37.0</v>
      </c>
    </row>
    <row r="86">
      <c r="A86" s="1" t="s">
        <v>2052</v>
      </c>
      <c r="B86" s="1">
        <v>40.0</v>
      </c>
    </row>
    <row r="87">
      <c r="A87" s="1" t="s">
        <v>2053</v>
      </c>
      <c r="B87" s="1">
        <v>40.0</v>
      </c>
    </row>
    <row r="88">
      <c r="A88" s="1" t="s">
        <v>2054</v>
      </c>
      <c r="B88" s="1">
        <v>40.0</v>
      </c>
    </row>
    <row r="89">
      <c r="A89" s="1" t="s">
        <v>2055</v>
      </c>
      <c r="B89" s="1">
        <v>40.0</v>
      </c>
    </row>
    <row r="90">
      <c r="A90" s="1" t="s">
        <v>2056</v>
      </c>
      <c r="B90" s="1">
        <v>40.0</v>
      </c>
    </row>
    <row r="91">
      <c r="A91" s="1" t="s">
        <v>2057</v>
      </c>
      <c r="B91" s="1">
        <v>30.0</v>
      </c>
    </row>
    <row r="92">
      <c r="A92" s="1" t="s">
        <v>2058</v>
      </c>
      <c r="B92" s="1">
        <v>40.0</v>
      </c>
    </row>
    <row r="93">
      <c r="A93" s="1" t="s">
        <v>2059</v>
      </c>
      <c r="B93" s="1">
        <v>40.0</v>
      </c>
    </row>
    <row r="94">
      <c r="A94" s="1" t="s">
        <v>2060</v>
      </c>
      <c r="B94" s="1">
        <v>40.0</v>
      </c>
    </row>
  </sheetData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</cols>
  <sheetData>
    <row r="1">
      <c r="A1" s="1" t="s">
        <v>1983</v>
      </c>
      <c r="B1" s="1">
        <v>70.0</v>
      </c>
    </row>
    <row r="2">
      <c r="A2" s="1" t="s">
        <v>1986</v>
      </c>
      <c r="B2" s="1">
        <v>64.0</v>
      </c>
    </row>
    <row r="4">
      <c r="A4" s="1" t="s">
        <v>1992</v>
      </c>
      <c r="B4" s="1">
        <v>95.0</v>
      </c>
    </row>
    <row r="5">
      <c r="A5" s="1" t="s">
        <v>1994</v>
      </c>
      <c r="B5" s="1">
        <v>70.0</v>
      </c>
    </row>
    <row r="6">
      <c r="A6" s="1" t="s">
        <v>1996</v>
      </c>
      <c r="B6" s="1">
        <v>35.0</v>
      </c>
    </row>
    <row r="7">
      <c r="A7" s="1" t="s">
        <v>1999</v>
      </c>
      <c r="B7" s="1">
        <v>88.0</v>
      </c>
    </row>
    <row r="8">
      <c r="A8" s="1" t="s">
        <v>2001</v>
      </c>
      <c r="B8" s="1">
        <v>73.0</v>
      </c>
    </row>
    <row r="9">
      <c r="A9" s="1" t="s">
        <v>2003</v>
      </c>
      <c r="B9" s="1">
        <v>34.0</v>
      </c>
    </row>
    <row r="10">
      <c r="A10" s="1" t="s">
        <v>2005</v>
      </c>
      <c r="B10" s="1">
        <v>108.0</v>
      </c>
    </row>
    <row r="11">
      <c r="A11" s="1" t="s">
        <v>2008</v>
      </c>
      <c r="B11" s="1">
        <v>109.0</v>
      </c>
    </row>
    <row r="12">
      <c r="A12" s="1" t="s">
        <v>2010</v>
      </c>
      <c r="B12" s="1">
        <v>102.0</v>
      </c>
    </row>
    <row r="13">
      <c r="A13" s="1" t="s">
        <v>2013</v>
      </c>
      <c r="B13" s="1">
        <v>80.0</v>
      </c>
    </row>
    <row r="14">
      <c r="A14" s="1" t="s">
        <v>2015</v>
      </c>
      <c r="B14" s="1">
        <v>80.0</v>
      </c>
    </row>
    <row r="15">
      <c r="A15" s="1" t="s">
        <v>2018</v>
      </c>
      <c r="B15" s="1">
        <v>59.0</v>
      </c>
    </row>
    <row r="16">
      <c r="A16" s="1" t="s">
        <v>2021</v>
      </c>
      <c r="B16" s="1">
        <v>73.0</v>
      </c>
    </row>
    <row r="17">
      <c r="A17" s="1" t="s">
        <v>2023</v>
      </c>
      <c r="B17" s="1">
        <v>84.0</v>
      </c>
    </row>
    <row r="18">
      <c r="A18" s="1" t="s">
        <v>2026</v>
      </c>
      <c r="B18" s="1">
        <v>58.0</v>
      </c>
    </row>
    <row r="19">
      <c r="A19" s="1" t="s">
        <v>2029</v>
      </c>
      <c r="B19" s="1">
        <v>83.0</v>
      </c>
    </row>
    <row r="20">
      <c r="A20" s="1" t="s">
        <v>2030</v>
      </c>
      <c r="B20" s="1">
        <v>89.0</v>
      </c>
    </row>
    <row r="21">
      <c r="A21" s="1" t="s">
        <v>2032</v>
      </c>
      <c r="B21" s="1">
        <v>59.0</v>
      </c>
    </row>
    <row r="22">
      <c r="A22" s="1" t="s">
        <v>2033</v>
      </c>
      <c r="B22" s="1">
        <v>94.0</v>
      </c>
    </row>
    <row r="23">
      <c r="A23" s="1" t="s">
        <v>2035</v>
      </c>
      <c r="B23" s="1">
        <v>91.0</v>
      </c>
    </row>
    <row r="24">
      <c r="A24" s="1" t="s">
        <v>2036</v>
      </c>
      <c r="B24" s="1">
        <v>71.0</v>
      </c>
    </row>
  </sheetData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</cols>
  <sheetData>
    <row r="1">
      <c r="A1" s="1" t="s">
        <v>2000</v>
      </c>
      <c r="B1" s="1">
        <v>20.0</v>
      </c>
    </row>
    <row r="2">
      <c r="A2" s="1" t="s">
        <v>2004</v>
      </c>
      <c r="B2" s="1">
        <v>20.0</v>
      </c>
    </row>
    <row r="3">
      <c r="A3" s="1" t="s">
        <v>2007</v>
      </c>
      <c r="B3" s="1">
        <v>70.0</v>
      </c>
    </row>
    <row r="4">
      <c r="A4" s="1" t="s">
        <v>2009</v>
      </c>
      <c r="B4" s="1">
        <v>120.0</v>
      </c>
    </row>
    <row r="5">
      <c r="A5" s="1" t="s">
        <v>2012</v>
      </c>
      <c r="B5" s="1">
        <v>20.0</v>
      </c>
    </row>
    <row r="6">
      <c r="A6" s="1" t="s">
        <v>2014</v>
      </c>
      <c r="B6" s="1">
        <v>80.0</v>
      </c>
    </row>
    <row r="7">
      <c r="A7" s="1" t="s">
        <v>2017</v>
      </c>
      <c r="B7" s="1">
        <v>60.0</v>
      </c>
    </row>
    <row r="9">
      <c r="A9" s="1" t="s">
        <v>2019</v>
      </c>
      <c r="B9" s="1">
        <v>80.0</v>
      </c>
    </row>
    <row r="10">
      <c r="A10" s="1" t="s">
        <v>2022</v>
      </c>
      <c r="B10" s="1">
        <v>20.0</v>
      </c>
    </row>
    <row r="11">
      <c r="A11" s="1" t="s">
        <v>2025</v>
      </c>
      <c r="B11" s="1">
        <v>160.0</v>
      </c>
    </row>
    <row r="12">
      <c r="A12" s="1" t="s">
        <v>2027</v>
      </c>
      <c r="B12" s="1">
        <v>30.0</v>
      </c>
    </row>
  </sheetData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1" t="s">
        <v>2061</v>
      </c>
      <c r="B1" s="1">
        <v>120.0</v>
      </c>
      <c r="C1" s="1" t="s">
        <v>2062</v>
      </c>
    </row>
  </sheetData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2063</v>
      </c>
      <c r="B1" s="1"/>
    </row>
    <row r="2">
      <c r="A2" s="1" t="s">
        <v>2064</v>
      </c>
      <c r="B2" s="1">
        <v>20.0</v>
      </c>
    </row>
    <row r="3">
      <c r="A3" s="1" t="s">
        <v>2065</v>
      </c>
      <c r="B3" s="1">
        <v>30.0</v>
      </c>
    </row>
    <row r="4">
      <c r="A4" s="1" t="s">
        <v>2066</v>
      </c>
      <c r="B4" s="1">
        <v>30.0</v>
      </c>
    </row>
  </sheetData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2063</v>
      </c>
    </row>
    <row r="2">
      <c r="A2" s="1" t="s">
        <v>2067</v>
      </c>
      <c r="B2" s="1">
        <v>330.0</v>
      </c>
    </row>
    <row r="3">
      <c r="A3" s="1" t="s">
        <v>2068</v>
      </c>
      <c r="B3" s="1">
        <v>160.0</v>
      </c>
    </row>
    <row r="4">
      <c r="A4" s="1" t="s">
        <v>2069</v>
      </c>
      <c r="B4" s="1">
        <v>160.0</v>
      </c>
    </row>
  </sheetData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2063</v>
      </c>
    </row>
    <row r="2">
      <c r="A2" s="1" t="s">
        <v>2091</v>
      </c>
      <c r="B2" s="1">
        <v>30.0</v>
      </c>
    </row>
    <row r="3">
      <c r="A3" s="1" t="s">
        <v>2092</v>
      </c>
      <c r="B3" s="1">
        <v>60.0</v>
      </c>
    </row>
    <row r="4">
      <c r="A4" s="1" t="s">
        <v>2093</v>
      </c>
      <c r="B4" s="1">
        <v>60.0</v>
      </c>
    </row>
  </sheetData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</cols>
  <sheetData>
    <row r="1">
      <c r="A1" s="1" t="s">
        <v>2063</v>
      </c>
    </row>
    <row r="2">
      <c r="A2" s="1" t="s">
        <v>2070</v>
      </c>
      <c r="B2" s="1">
        <v>30.0</v>
      </c>
    </row>
    <row r="3">
      <c r="A3" s="1" t="s">
        <v>2071</v>
      </c>
      <c r="B3" s="1">
        <v>50.0</v>
      </c>
    </row>
    <row r="4">
      <c r="A4" s="1" t="s">
        <v>2072</v>
      </c>
      <c r="B4" s="1">
        <v>50.0</v>
      </c>
    </row>
    <row r="5">
      <c r="A5" s="1" t="s">
        <v>2073</v>
      </c>
      <c r="B5" s="1">
        <v>40.0</v>
      </c>
    </row>
    <row r="6">
      <c r="A6" s="1" t="s">
        <v>2075</v>
      </c>
      <c r="B6" s="1">
        <v>50.0</v>
      </c>
    </row>
    <row r="7">
      <c r="A7" s="1" t="s">
        <v>2076</v>
      </c>
      <c r="B7" s="1">
        <v>50.0</v>
      </c>
    </row>
    <row r="8">
      <c r="A8" s="1" t="s">
        <v>2078</v>
      </c>
      <c r="B8" s="1">
        <v>50.0</v>
      </c>
    </row>
    <row r="9">
      <c r="A9" s="1" t="s">
        <v>2080</v>
      </c>
      <c r="B9" s="1">
        <v>50.0</v>
      </c>
    </row>
    <row r="10">
      <c r="A10" s="1" t="s">
        <v>2082</v>
      </c>
      <c r="B10" s="1">
        <v>50.0</v>
      </c>
    </row>
    <row r="11">
      <c r="A11" s="1" t="s">
        <v>2083</v>
      </c>
      <c r="B11" s="1">
        <v>40.0</v>
      </c>
    </row>
    <row r="12">
      <c r="A12" s="1" t="s">
        <v>2084</v>
      </c>
      <c r="B12" s="1">
        <v>50.0</v>
      </c>
    </row>
    <row r="13">
      <c r="A13" s="1" t="s">
        <v>2085</v>
      </c>
      <c r="B13" s="1">
        <v>50.0</v>
      </c>
    </row>
    <row r="14">
      <c r="A14" s="1" t="s">
        <v>2086</v>
      </c>
      <c r="B14" s="1">
        <v>50.0</v>
      </c>
    </row>
    <row r="15">
      <c r="A15" s="1" t="s">
        <v>2087</v>
      </c>
      <c r="B15" s="1">
        <v>50.0</v>
      </c>
    </row>
    <row r="16">
      <c r="A16" s="1" t="s">
        <v>2088</v>
      </c>
      <c r="B16" s="1">
        <v>50.0</v>
      </c>
    </row>
    <row r="17">
      <c r="A17" s="1" t="s">
        <v>2089</v>
      </c>
      <c r="B17" s="1">
        <v>50.0</v>
      </c>
    </row>
    <row r="18">
      <c r="A18" s="1" t="s">
        <v>2090</v>
      </c>
      <c r="B18" s="1">
        <v>40.0</v>
      </c>
    </row>
  </sheetData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3" width="9.38"/>
    <col customWidth="1" min="4" max="4" width="25.75"/>
    <col customWidth="1" min="6" max="6" width="27.0"/>
  </cols>
  <sheetData>
    <row r="2">
      <c r="A2" s="1" t="s">
        <v>2074</v>
      </c>
      <c r="B2" s="1">
        <v>500.0</v>
      </c>
    </row>
    <row r="3">
      <c r="A3" s="1" t="s">
        <v>2077</v>
      </c>
      <c r="B3" s="1">
        <v>150.0</v>
      </c>
    </row>
    <row r="4">
      <c r="A4" s="1" t="s">
        <v>2079</v>
      </c>
      <c r="B4" s="1">
        <v>50.0</v>
      </c>
    </row>
    <row r="6">
      <c r="A6" s="1" t="s">
        <v>2081</v>
      </c>
      <c r="B6" s="1">
        <v>50.0</v>
      </c>
    </row>
    <row r="7">
      <c r="C7" s="1"/>
    </row>
  </sheetData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</cols>
  <sheetData>
    <row r="1">
      <c r="A1" s="1" t="s">
        <v>128</v>
      </c>
      <c r="B1" s="1">
        <v>54.0</v>
      </c>
    </row>
    <row r="2">
      <c r="A2" s="1" t="s">
        <v>129</v>
      </c>
      <c r="B2" s="1">
        <v>27.0</v>
      </c>
    </row>
    <row r="3">
      <c r="A3" s="1" t="s">
        <v>140</v>
      </c>
      <c r="B3" s="1">
        <v>51.0</v>
      </c>
    </row>
    <row r="4">
      <c r="A4" s="1" t="s">
        <v>138</v>
      </c>
      <c r="B4" s="1">
        <v>36.0</v>
      </c>
    </row>
    <row r="5">
      <c r="A5" s="1" t="s">
        <v>137</v>
      </c>
      <c r="B5" s="1">
        <v>46.0</v>
      </c>
    </row>
    <row r="6">
      <c r="A6" s="1" t="s">
        <v>2094</v>
      </c>
      <c r="B6" s="1">
        <v>160.0</v>
      </c>
    </row>
    <row r="7">
      <c r="A7" s="1" t="s">
        <v>142</v>
      </c>
      <c r="B7" s="1">
        <v>206.0</v>
      </c>
    </row>
    <row r="8">
      <c r="A8" s="1" t="s">
        <v>2095</v>
      </c>
      <c r="B8" s="1">
        <v>20.0</v>
      </c>
    </row>
    <row r="9">
      <c r="A9" s="1" t="s">
        <v>172</v>
      </c>
      <c r="B9" s="1">
        <v>33.0</v>
      </c>
    </row>
    <row r="10">
      <c r="A10" s="1" t="s">
        <v>2096</v>
      </c>
      <c r="B10" s="1">
        <v>30.0</v>
      </c>
    </row>
    <row r="11">
      <c r="A11" s="1" t="s">
        <v>2097</v>
      </c>
      <c r="B11" s="1">
        <v>42.0</v>
      </c>
    </row>
    <row r="12">
      <c r="A12" s="90" t="s">
        <v>2098</v>
      </c>
      <c r="B12" s="1">
        <v>20.0</v>
      </c>
    </row>
    <row r="13">
      <c r="A13" s="1" t="s">
        <v>248</v>
      </c>
      <c r="B13" s="1">
        <v>20.0</v>
      </c>
    </row>
    <row r="14">
      <c r="A14" s="1" t="s">
        <v>2099</v>
      </c>
      <c r="B14" s="1">
        <v>20.0</v>
      </c>
    </row>
    <row r="15">
      <c r="A15" s="1" t="s">
        <v>2100</v>
      </c>
      <c r="B15" s="1">
        <v>20.0</v>
      </c>
    </row>
    <row r="16">
      <c r="A16" s="1" t="s">
        <v>2101</v>
      </c>
      <c r="B16" s="1">
        <v>20.0</v>
      </c>
    </row>
    <row r="17">
      <c r="A17" s="1" t="s">
        <v>440</v>
      </c>
      <c r="B17" s="1">
        <v>39.0</v>
      </c>
    </row>
    <row r="18">
      <c r="A18" s="1" t="s">
        <v>2102</v>
      </c>
      <c r="B18" s="1">
        <v>38.0</v>
      </c>
    </row>
    <row r="19">
      <c r="A19" s="1" t="s">
        <v>447</v>
      </c>
      <c r="B19" s="1">
        <v>50.0</v>
      </c>
    </row>
    <row r="20">
      <c r="A20" s="1" t="s">
        <v>445</v>
      </c>
      <c r="B20" s="1">
        <v>45.0</v>
      </c>
    </row>
    <row r="21">
      <c r="A21" s="1" t="s">
        <v>2103</v>
      </c>
      <c r="B21" s="1">
        <v>23.0</v>
      </c>
    </row>
    <row r="22">
      <c r="A22" s="1" t="s">
        <v>699</v>
      </c>
      <c r="B22" s="1">
        <v>67.0</v>
      </c>
    </row>
    <row r="23">
      <c r="A23" s="1" t="s">
        <v>697</v>
      </c>
      <c r="B23" s="1">
        <v>350.0</v>
      </c>
    </row>
    <row r="24">
      <c r="A24" s="1" t="s">
        <v>2104</v>
      </c>
      <c r="B24" s="1">
        <v>45.0</v>
      </c>
    </row>
    <row r="25">
      <c r="A25" s="1" t="s">
        <v>2105</v>
      </c>
      <c r="B25" s="1">
        <v>40.0</v>
      </c>
    </row>
    <row r="26">
      <c r="A26" s="1" t="s">
        <v>701</v>
      </c>
      <c r="B26" s="1">
        <v>26.0</v>
      </c>
    </row>
    <row r="27">
      <c r="A27" s="1" t="s">
        <v>712</v>
      </c>
      <c r="B27" s="1">
        <v>60.0</v>
      </c>
    </row>
    <row r="28">
      <c r="A28" s="1" t="s">
        <v>719</v>
      </c>
      <c r="B28" s="1">
        <v>81.0</v>
      </c>
    </row>
    <row r="29">
      <c r="A29" s="1" t="s">
        <v>724</v>
      </c>
      <c r="B29" s="1">
        <v>25.0</v>
      </c>
    </row>
    <row r="30">
      <c r="A30" s="1" t="s">
        <v>721</v>
      </c>
      <c r="B30" s="1">
        <v>40.0</v>
      </c>
    </row>
    <row r="31">
      <c r="A31" s="1" t="s">
        <v>2106</v>
      </c>
      <c r="B31" s="1">
        <v>20.0</v>
      </c>
    </row>
    <row r="32">
      <c r="A32" s="1" t="s">
        <v>710</v>
      </c>
      <c r="B32" s="1">
        <v>20.0</v>
      </c>
    </row>
    <row r="33">
      <c r="A33" s="1" t="s">
        <v>758</v>
      </c>
      <c r="B33" s="1">
        <v>100.0</v>
      </c>
    </row>
    <row r="34">
      <c r="A34" s="1" t="s">
        <v>753</v>
      </c>
      <c r="B34" s="1">
        <v>76.0</v>
      </c>
    </row>
    <row r="35">
      <c r="A35" s="1" t="s">
        <v>755</v>
      </c>
      <c r="B35" s="1">
        <v>27.0</v>
      </c>
    </row>
    <row r="36">
      <c r="A36" s="1" t="s">
        <v>754</v>
      </c>
      <c r="B36" s="1">
        <v>43.0</v>
      </c>
    </row>
    <row r="37">
      <c r="A37" s="1" t="s">
        <v>2107</v>
      </c>
      <c r="B37" s="1">
        <v>46.0</v>
      </c>
    </row>
    <row r="38">
      <c r="A38" s="90" t="s">
        <v>764</v>
      </c>
      <c r="B38" s="1">
        <v>19.0</v>
      </c>
    </row>
    <row r="39">
      <c r="A39" s="1" t="s">
        <v>763</v>
      </c>
      <c r="B39" s="1">
        <v>50.0</v>
      </c>
    </row>
    <row r="40">
      <c r="A40" s="1" t="s">
        <v>2108</v>
      </c>
      <c r="B40" s="1">
        <v>50.0</v>
      </c>
    </row>
    <row r="41">
      <c r="A41" s="1" t="s">
        <v>1087</v>
      </c>
      <c r="B41" s="1">
        <v>16.0</v>
      </c>
    </row>
    <row r="42">
      <c r="A42" s="1" t="s">
        <v>2109</v>
      </c>
      <c r="B42" s="1">
        <v>29.0</v>
      </c>
    </row>
    <row r="43">
      <c r="A43" s="1" t="s">
        <v>1093</v>
      </c>
      <c r="B43" s="1">
        <v>20.0</v>
      </c>
    </row>
    <row r="44">
      <c r="A44" s="90" t="s">
        <v>1447</v>
      </c>
      <c r="B44" s="1">
        <v>20.0</v>
      </c>
    </row>
    <row r="45">
      <c r="A45" s="1" t="s">
        <v>1442</v>
      </c>
      <c r="B45" s="1">
        <v>50.0</v>
      </c>
    </row>
    <row r="46">
      <c r="A46" s="90" t="s">
        <v>1444</v>
      </c>
      <c r="B46" s="1">
        <v>15.0</v>
      </c>
    </row>
    <row r="47">
      <c r="A47" s="90" t="s">
        <v>1445</v>
      </c>
      <c r="B47" s="1">
        <v>10.0</v>
      </c>
    </row>
    <row r="48">
      <c r="A48" s="1" t="s">
        <v>2110</v>
      </c>
      <c r="B48" s="1">
        <v>43.0</v>
      </c>
    </row>
    <row r="49">
      <c r="A49" s="90" t="s">
        <v>2111</v>
      </c>
      <c r="B49" s="1">
        <v>42.0</v>
      </c>
    </row>
    <row r="50">
      <c r="A50" s="1" t="s">
        <v>2112</v>
      </c>
      <c r="B50" s="1">
        <v>25.0</v>
      </c>
    </row>
  </sheetData>
  <drawing r:id="rId1"/>
</worksheet>
</file>