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ET" sheetId="1" r:id="rId5"/>
  </sheets>
  <definedNames/>
  <calcPr/>
</workbook>
</file>

<file path=xl/sharedStrings.xml><?xml version="1.0" encoding="utf-8"?>
<sst xmlns="http://schemas.openxmlformats.org/spreadsheetml/2006/main" count="160" uniqueCount="85">
  <si>
    <t>Chaozhou / Jieyang</t>
  </si>
  <si>
    <t>Qtys</t>
  </si>
  <si>
    <t>Confirm</t>
  </si>
  <si>
    <t>CBM</t>
  </si>
  <si>
    <t>LABEL</t>
  </si>
  <si>
    <t>PLAN SHIP DATE</t>
  </si>
  <si>
    <t>BOX LABEL</t>
  </si>
  <si>
    <t>IN10127</t>
  </si>
  <si>
    <t>GT268-GT271</t>
  </si>
  <si>
    <t>SENT</t>
  </si>
  <si>
    <t>Goods Ready</t>
  </si>
  <si>
    <t>IN10132</t>
  </si>
  <si>
    <t>GT272-GT273</t>
  </si>
  <si>
    <t>IN10144</t>
  </si>
  <si>
    <t>GT282-GT286</t>
  </si>
  <si>
    <t>TBC</t>
  </si>
  <si>
    <t>IN10146</t>
  </si>
  <si>
    <t>GT288-GT294 (Jelly Shoe)</t>
  </si>
  <si>
    <t>Sep 30 - Oct10</t>
  </si>
  <si>
    <t>IN10147</t>
  </si>
  <si>
    <t>GT170</t>
  </si>
  <si>
    <t>IN10148</t>
  </si>
  <si>
    <t>GT114</t>
  </si>
  <si>
    <t>IN10150</t>
  </si>
  <si>
    <t>GT245 &amp; GT247</t>
  </si>
  <si>
    <t>IN10153</t>
  </si>
  <si>
    <t>IN10154</t>
  </si>
  <si>
    <t>GT128</t>
  </si>
  <si>
    <t>IN10155</t>
  </si>
  <si>
    <t>GT129</t>
  </si>
  <si>
    <t>IN10156</t>
  </si>
  <si>
    <t>GT130</t>
  </si>
  <si>
    <t>IN10157</t>
  </si>
  <si>
    <t>GT144</t>
  </si>
  <si>
    <t>IN10167</t>
  </si>
  <si>
    <t>GT135</t>
  </si>
  <si>
    <t>Jinjiang</t>
  </si>
  <si>
    <t>IN10130</t>
  </si>
  <si>
    <t>GT117, 119, 121, 122</t>
  </si>
  <si>
    <t>goods ready</t>
  </si>
  <si>
    <t>GT119 ship to UGG combine</t>
  </si>
  <si>
    <t>IN10131</t>
  </si>
  <si>
    <t>GT104-1</t>
  </si>
  <si>
    <t>Goods ready</t>
  </si>
  <si>
    <t>IN10133</t>
  </si>
  <si>
    <t>GT274</t>
  </si>
  <si>
    <t>ship to UGG combine</t>
  </si>
  <si>
    <t>IN10140</t>
  </si>
  <si>
    <t>GT074</t>
  </si>
  <si>
    <t>IN10141</t>
  </si>
  <si>
    <t>GT110</t>
  </si>
  <si>
    <t>IN10145</t>
  </si>
  <si>
    <t>GT287</t>
  </si>
  <si>
    <t>Making Sample</t>
  </si>
  <si>
    <t>IN10149</t>
  </si>
  <si>
    <t>IN10151</t>
  </si>
  <si>
    <t>GT104</t>
  </si>
  <si>
    <t>IN10152</t>
  </si>
  <si>
    <t>GT118 &amp; GT119</t>
  </si>
  <si>
    <t>IN10158</t>
  </si>
  <si>
    <t>GT134</t>
  </si>
  <si>
    <t>IN10159</t>
  </si>
  <si>
    <t>IN10160</t>
  </si>
  <si>
    <t>GT161</t>
  </si>
  <si>
    <t>IN10164</t>
  </si>
  <si>
    <t>GT250, GT297 GT298 GT303</t>
  </si>
  <si>
    <t>Fuzhou</t>
  </si>
  <si>
    <t>IN10161</t>
  </si>
  <si>
    <t>GT142</t>
  </si>
  <si>
    <t>IN10162</t>
  </si>
  <si>
    <t>MY2307</t>
  </si>
  <si>
    <t>IN10163</t>
  </si>
  <si>
    <t>Shanghai &amp; Ningbo</t>
  </si>
  <si>
    <t>IN10079</t>
  </si>
  <si>
    <t>UGG</t>
  </si>
  <si>
    <t>From end July</t>
  </si>
  <si>
    <t>AR10003</t>
  </si>
  <si>
    <t>IN10136</t>
  </si>
  <si>
    <t>AR10037</t>
  </si>
  <si>
    <t>IN10118</t>
  </si>
  <si>
    <t>GT260-GT265</t>
  </si>
  <si>
    <t>Total</t>
  </si>
  <si>
    <t>Zhejiang</t>
  </si>
  <si>
    <t>IN10165</t>
  </si>
  <si>
    <t>GT209-GT302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</si>
</sst>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"/>
    <numFmt numFmtId="165" formatCode="mmm d"/>
    <numFmt numFmtId="166" formatCode="mmm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theme="8"/>
        <bgColor theme="8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Font="1"/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1" numFmtId="166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5" fontId="1" numFmtId="0" xfId="0" applyAlignment="1" applyFill="1" applyFont="1">
      <alignment readingOrder="0"/>
    </xf>
    <xf borderId="0" fillId="5" fontId="1" numFmtId="0" xfId="0" applyFill="1" applyFont="1"/>
    <xf borderId="0" fillId="6" fontId="1" numFmtId="0" xfId="0" applyAlignment="1" applyFill="1" applyFont="1">
      <alignment readingOrder="0"/>
    </xf>
    <xf borderId="0" fillId="6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4" max="4" width="15.63"/>
    <col customWidth="1" min="6" max="6" width="11.63"/>
  </cols>
  <sheetData>
    <row r="1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2" t="s">
        <v>7</v>
      </c>
      <c r="B2" s="2" t="s">
        <v>8</v>
      </c>
      <c r="C2" s="2">
        <v>5952.0</v>
      </c>
      <c r="D2" s="3">
        <v>46197.0</v>
      </c>
      <c r="E2" s="2">
        <v>24.07</v>
      </c>
      <c r="F2" s="2" t="s">
        <v>9</v>
      </c>
      <c r="G2" s="2" t="s">
        <v>10</v>
      </c>
      <c r="H2" s="2" t="s">
        <v>9</v>
      </c>
    </row>
    <row r="3">
      <c r="A3" s="2" t="s">
        <v>11</v>
      </c>
      <c r="B3" s="2" t="s">
        <v>12</v>
      </c>
      <c r="C3" s="2">
        <v>3840.0</v>
      </c>
      <c r="D3" s="3">
        <v>46202.0</v>
      </c>
      <c r="E3" s="2">
        <v>11.11</v>
      </c>
      <c r="F3" s="2" t="s">
        <v>9</v>
      </c>
      <c r="G3" s="2" t="s">
        <v>10</v>
      </c>
      <c r="H3" s="2" t="s">
        <v>9</v>
      </c>
    </row>
    <row r="4" ht="17.25" customHeight="1">
      <c r="A4" s="2" t="s">
        <v>13</v>
      </c>
      <c r="B4" s="2" t="s">
        <v>14</v>
      </c>
      <c r="C4" s="2">
        <v>10800.0</v>
      </c>
      <c r="D4" s="3">
        <v>46225.0</v>
      </c>
      <c r="E4" s="4" t="s">
        <v>15</v>
      </c>
      <c r="F4" s="2" t="s">
        <v>9</v>
      </c>
      <c r="G4" s="5">
        <v>46305.0</v>
      </c>
      <c r="H4" s="2" t="s">
        <v>9</v>
      </c>
    </row>
    <row r="5">
      <c r="A5" s="2" t="s">
        <v>16</v>
      </c>
      <c r="B5" s="2" t="s">
        <v>17</v>
      </c>
      <c r="C5" s="2">
        <v>12600.0</v>
      </c>
      <c r="D5" s="3">
        <v>46227.0</v>
      </c>
      <c r="E5" s="4" t="s">
        <v>15</v>
      </c>
      <c r="F5" s="2" t="s">
        <v>9</v>
      </c>
      <c r="G5" s="2" t="s">
        <v>18</v>
      </c>
      <c r="H5" s="2" t="s">
        <v>9</v>
      </c>
    </row>
    <row r="6">
      <c r="A6" s="2" t="s">
        <v>19</v>
      </c>
      <c r="B6" s="2" t="s">
        <v>20</v>
      </c>
      <c r="C6" s="2">
        <v>10560.0</v>
      </c>
      <c r="D6" s="5">
        <v>46249.0</v>
      </c>
      <c r="E6" s="2">
        <v>47.8</v>
      </c>
      <c r="F6" s="2" t="s">
        <v>9</v>
      </c>
      <c r="G6" s="5">
        <v>46295.0</v>
      </c>
      <c r="H6" s="2" t="s">
        <v>9</v>
      </c>
    </row>
    <row r="7">
      <c r="A7" s="2" t="s">
        <v>21</v>
      </c>
      <c r="B7" s="2" t="s">
        <v>22</v>
      </c>
      <c r="C7" s="2">
        <v>2640.0</v>
      </c>
      <c r="D7" s="5">
        <v>46251.0</v>
      </c>
      <c r="E7" s="2">
        <v>8.85</v>
      </c>
      <c r="F7" s="2" t="s">
        <v>9</v>
      </c>
      <c r="G7" s="5">
        <v>46290.0</v>
      </c>
      <c r="H7" s="2" t="s">
        <v>9</v>
      </c>
    </row>
    <row r="8">
      <c r="A8" s="2" t="s">
        <v>23</v>
      </c>
      <c r="B8" s="2" t="s">
        <v>24</v>
      </c>
      <c r="C8" s="2">
        <v>3600.0</v>
      </c>
      <c r="D8" s="5">
        <v>46252.0</v>
      </c>
      <c r="E8" s="4" t="s">
        <v>15</v>
      </c>
      <c r="F8" s="2" t="s">
        <v>9</v>
      </c>
      <c r="G8" s="5">
        <v>46305.0</v>
      </c>
      <c r="H8" s="2" t="s">
        <v>9</v>
      </c>
    </row>
    <row r="9">
      <c r="A9" s="2" t="s">
        <v>25</v>
      </c>
      <c r="B9" s="2" t="s">
        <v>22</v>
      </c>
      <c r="C9" s="2">
        <v>9360.0</v>
      </c>
      <c r="D9" s="5">
        <v>46253.0</v>
      </c>
      <c r="E9" s="2">
        <v>30.0</v>
      </c>
      <c r="F9" s="2" t="s">
        <v>9</v>
      </c>
      <c r="G9" s="5">
        <v>46290.0</v>
      </c>
      <c r="H9" s="2" t="s">
        <v>9</v>
      </c>
    </row>
    <row r="10">
      <c r="A10" s="2" t="s">
        <v>26</v>
      </c>
      <c r="B10" s="2" t="s">
        <v>27</v>
      </c>
      <c r="C10" s="2">
        <v>1920.0</v>
      </c>
      <c r="D10" s="5">
        <v>46253.0</v>
      </c>
      <c r="E10" s="2">
        <v>4.13</v>
      </c>
      <c r="F10" s="2" t="s">
        <v>9</v>
      </c>
      <c r="G10" s="5">
        <v>46290.0</v>
      </c>
      <c r="H10" s="2" t="s">
        <v>9</v>
      </c>
    </row>
    <row r="11">
      <c r="A11" s="2" t="s">
        <v>28</v>
      </c>
      <c r="B11" s="2" t="s">
        <v>29</v>
      </c>
      <c r="C11" s="2">
        <v>2640.0</v>
      </c>
      <c r="D11" s="5">
        <v>46253.0</v>
      </c>
      <c r="E11" s="2">
        <v>7.63</v>
      </c>
      <c r="F11" s="2" t="s">
        <v>9</v>
      </c>
      <c r="G11" s="5">
        <v>46290.0</v>
      </c>
      <c r="H11" s="2" t="s">
        <v>9</v>
      </c>
    </row>
    <row r="12">
      <c r="A12" s="2" t="s">
        <v>30</v>
      </c>
      <c r="B12" s="2" t="s">
        <v>31</v>
      </c>
      <c r="C12" s="2">
        <v>960.0</v>
      </c>
      <c r="D12" s="5">
        <v>46253.0</v>
      </c>
      <c r="E12" s="2">
        <v>2.78</v>
      </c>
      <c r="F12" s="2" t="s">
        <v>9</v>
      </c>
      <c r="G12" s="5">
        <v>46290.0</v>
      </c>
      <c r="H12" s="2" t="s">
        <v>9</v>
      </c>
    </row>
    <row r="13">
      <c r="A13" s="2" t="s">
        <v>32</v>
      </c>
      <c r="B13" s="2" t="s">
        <v>33</v>
      </c>
      <c r="C13" s="2">
        <v>960.0</v>
      </c>
      <c r="D13" s="5">
        <v>46253.0</v>
      </c>
      <c r="E13" s="2">
        <v>3.98</v>
      </c>
      <c r="F13" s="2" t="s">
        <v>9</v>
      </c>
      <c r="G13" s="5">
        <v>46290.0</v>
      </c>
      <c r="H13" s="2" t="s">
        <v>9</v>
      </c>
    </row>
    <row r="14">
      <c r="A14" s="2" t="s">
        <v>34</v>
      </c>
      <c r="B14" s="2" t="s">
        <v>35</v>
      </c>
      <c r="C14" s="2">
        <v>9696.0</v>
      </c>
      <c r="D14" s="5">
        <v>46266.0</v>
      </c>
      <c r="E14" s="2">
        <v>43.85</v>
      </c>
      <c r="F14" s="2" t="s">
        <v>9</v>
      </c>
      <c r="G14" s="5">
        <v>46300.0</v>
      </c>
      <c r="H14" s="2" t="s">
        <v>9</v>
      </c>
    </row>
    <row r="15">
      <c r="A15" s="2"/>
      <c r="E15" s="6"/>
    </row>
    <row r="16">
      <c r="A16" s="2"/>
      <c r="C16" s="6">
        <f>sum(C2:C15)</f>
        <v>75528</v>
      </c>
      <c r="E16" s="6">
        <f>SUM(E2:E15)</f>
        <v>184.2</v>
      </c>
    </row>
    <row r="17">
      <c r="A17" s="2"/>
    </row>
    <row r="18">
      <c r="A18" s="7" t="s">
        <v>36</v>
      </c>
      <c r="B18" s="8"/>
    </row>
    <row r="19">
      <c r="A19" s="2" t="s">
        <v>37</v>
      </c>
      <c r="B19" s="2" t="s">
        <v>38</v>
      </c>
      <c r="C19" s="2">
        <v>3168.0</v>
      </c>
      <c r="D19" s="3">
        <v>46195.0</v>
      </c>
      <c r="E19" s="2">
        <v>5.84</v>
      </c>
      <c r="F19" s="2" t="s">
        <v>9</v>
      </c>
      <c r="G19" s="2" t="s">
        <v>39</v>
      </c>
      <c r="H19" s="2" t="s">
        <v>9</v>
      </c>
      <c r="I19" s="2" t="s">
        <v>40</v>
      </c>
    </row>
    <row r="20">
      <c r="A20" s="2" t="s">
        <v>41</v>
      </c>
      <c r="B20" s="2" t="s">
        <v>42</v>
      </c>
      <c r="C20" s="2">
        <v>1920.0</v>
      </c>
      <c r="D20" s="3">
        <v>46195.0</v>
      </c>
      <c r="E20" s="2">
        <v>3.43</v>
      </c>
      <c r="F20" s="2" t="s">
        <v>9</v>
      </c>
      <c r="G20" s="2" t="s">
        <v>43</v>
      </c>
      <c r="H20" s="2" t="s">
        <v>9</v>
      </c>
    </row>
    <row r="21">
      <c r="A21" s="2" t="s">
        <v>44</v>
      </c>
      <c r="B21" s="2" t="s">
        <v>45</v>
      </c>
      <c r="C21" s="2">
        <v>1920.0</v>
      </c>
      <c r="D21" s="3">
        <v>46206.0</v>
      </c>
      <c r="E21" s="2">
        <v>16.0</v>
      </c>
      <c r="F21" s="2" t="s">
        <v>9</v>
      </c>
      <c r="G21" s="2" t="s">
        <v>39</v>
      </c>
      <c r="H21" s="2" t="s">
        <v>9</v>
      </c>
      <c r="I21" s="2" t="s">
        <v>46</v>
      </c>
    </row>
    <row r="22">
      <c r="A22" s="2" t="s">
        <v>47</v>
      </c>
      <c r="B22" s="2" t="s">
        <v>48</v>
      </c>
      <c r="C22" s="2">
        <v>6240.0</v>
      </c>
      <c r="D22" s="3">
        <v>46221.0</v>
      </c>
      <c r="E22" s="2">
        <v>24.24</v>
      </c>
      <c r="F22" s="2" t="s">
        <v>9</v>
      </c>
      <c r="G22" s="5">
        <v>46275.0</v>
      </c>
      <c r="H22" s="2" t="s">
        <v>9</v>
      </c>
    </row>
    <row r="23">
      <c r="A23" s="2" t="s">
        <v>49</v>
      </c>
      <c r="B23" s="2" t="s">
        <v>50</v>
      </c>
      <c r="C23" s="2">
        <v>6240.0</v>
      </c>
      <c r="D23" s="3">
        <v>46221.0</v>
      </c>
      <c r="E23" s="2">
        <v>24.3</v>
      </c>
      <c r="F23" s="2" t="s">
        <v>9</v>
      </c>
      <c r="G23" s="5">
        <v>46275.0</v>
      </c>
      <c r="H23" s="2" t="s">
        <v>9</v>
      </c>
    </row>
    <row r="24">
      <c r="A24" s="2" t="s">
        <v>51</v>
      </c>
      <c r="B24" s="2" t="s">
        <v>52</v>
      </c>
      <c r="C24" s="2">
        <v>4320.0</v>
      </c>
      <c r="D24" s="3">
        <v>46227.0</v>
      </c>
      <c r="E24" s="2" t="s">
        <v>53</v>
      </c>
      <c r="F24" s="2" t="s">
        <v>9</v>
      </c>
      <c r="H24" s="2" t="s">
        <v>9</v>
      </c>
    </row>
    <row r="25">
      <c r="A25" s="2" t="s">
        <v>54</v>
      </c>
      <c r="B25" s="2" t="s">
        <v>50</v>
      </c>
      <c r="C25" s="2">
        <v>9600.0</v>
      </c>
      <c r="D25" s="5">
        <v>46251.0</v>
      </c>
      <c r="E25" s="2">
        <v>36.0</v>
      </c>
      <c r="F25" s="2" t="s">
        <v>9</v>
      </c>
      <c r="G25" s="5">
        <v>46290.0</v>
      </c>
      <c r="H25" s="2" t="s">
        <v>9</v>
      </c>
    </row>
    <row r="26">
      <c r="A26" s="2" t="s">
        <v>55</v>
      </c>
      <c r="B26" s="2" t="s">
        <v>56</v>
      </c>
      <c r="C26" s="2">
        <v>18240.0</v>
      </c>
      <c r="D26" s="5">
        <v>46252.0</v>
      </c>
      <c r="E26" s="2">
        <v>32.56</v>
      </c>
      <c r="F26" s="2" t="s">
        <v>9</v>
      </c>
      <c r="G26" s="9">
        <v>46285.0</v>
      </c>
      <c r="H26" s="2" t="s">
        <v>9</v>
      </c>
    </row>
    <row r="27">
      <c r="A27" s="2" t="s">
        <v>57</v>
      </c>
      <c r="B27" s="2" t="s">
        <v>58</v>
      </c>
      <c r="C27" s="2">
        <v>3120.0</v>
      </c>
      <c r="D27" s="9">
        <v>46252.0</v>
      </c>
      <c r="E27" s="2">
        <v>5.75</v>
      </c>
      <c r="F27" s="2" t="s">
        <v>9</v>
      </c>
      <c r="G27" s="5">
        <v>46285.0</v>
      </c>
      <c r="H27" s="2" t="s">
        <v>9</v>
      </c>
    </row>
    <row r="28">
      <c r="A28" s="2" t="s">
        <v>59</v>
      </c>
      <c r="B28" s="2" t="s">
        <v>60</v>
      </c>
      <c r="C28" s="2">
        <v>1104.0</v>
      </c>
      <c r="D28" s="5">
        <v>46253.0</v>
      </c>
      <c r="E28" s="2">
        <v>2.4</v>
      </c>
      <c r="F28" s="2" t="s">
        <v>9</v>
      </c>
      <c r="H28" s="2" t="s">
        <v>9</v>
      </c>
    </row>
    <row r="29">
      <c r="A29" s="2" t="s">
        <v>61</v>
      </c>
      <c r="B29" s="2" t="s">
        <v>60</v>
      </c>
      <c r="C29" s="2">
        <v>4416.0</v>
      </c>
      <c r="D29" s="5">
        <v>46253.0</v>
      </c>
      <c r="E29" s="2">
        <v>9.6</v>
      </c>
      <c r="F29" s="2" t="s">
        <v>9</v>
      </c>
      <c r="H29" s="2" t="s">
        <v>9</v>
      </c>
    </row>
    <row r="30">
      <c r="A30" s="2" t="s">
        <v>62</v>
      </c>
      <c r="B30" s="2" t="s">
        <v>63</v>
      </c>
      <c r="C30" s="2">
        <v>6720.0</v>
      </c>
      <c r="D30" s="5">
        <v>46253.0</v>
      </c>
      <c r="E30" s="2">
        <v>14.6</v>
      </c>
      <c r="F30" s="2" t="s">
        <v>9</v>
      </c>
      <c r="H30" s="2" t="s">
        <v>9</v>
      </c>
    </row>
    <row r="31">
      <c r="A31" s="2" t="s">
        <v>64</v>
      </c>
      <c r="B31" s="2" t="s">
        <v>65</v>
      </c>
      <c r="C31" s="2">
        <v>7680.0</v>
      </c>
      <c r="E31" s="2">
        <v>14.29</v>
      </c>
      <c r="G31" s="5">
        <v>46282.0</v>
      </c>
    </row>
    <row r="32">
      <c r="A32" s="2"/>
      <c r="C32" s="6"/>
      <c r="E32" s="6"/>
    </row>
    <row r="33">
      <c r="A33" s="2"/>
      <c r="C33" s="6"/>
      <c r="E33" s="6"/>
    </row>
    <row r="34">
      <c r="A34" s="2"/>
      <c r="C34" s="6">
        <f>SUM(C19:C33)</f>
        <v>74688</v>
      </c>
      <c r="E34" s="6">
        <f>sum(E19:E33)</f>
        <v>189.01</v>
      </c>
    </row>
    <row r="35">
      <c r="A35" s="2"/>
    </row>
    <row r="36">
      <c r="A36" s="2"/>
    </row>
    <row r="37">
      <c r="A37" s="10" t="s">
        <v>66</v>
      </c>
      <c r="B37" s="11"/>
    </row>
    <row r="38">
      <c r="A38" s="2" t="s">
        <v>67</v>
      </c>
      <c r="B38" s="2" t="s">
        <v>68</v>
      </c>
      <c r="C38" s="2">
        <v>4080.0</v>
      </c>
      <c r="E38" s="2">
        <v>14.0</v>
      </c>
      <c r="F38" s="2" t="s">
        <v>9</v>
      </c>
      <c r="G38" s="5">
        <v>46310.0</v>
      </c>
      <c r="H38" s="2" t="s">
        <v>9</v>
      </c>
    </row>
    <row r="39">
      <c r="A39" s="2" t="s">
        <v>69</v>
      </c>
      <c r="B39" s="2" t="s">
        <v>70</v>
      </c>
      <c r="C39" s="2">
        <v>9120.0</v>
      </c>
      <c r="E39" s="2">
        <v>31.74</v>
      </c>
      <c r="F39" s="2" t="s">
        <v>9</v>
      </c>
      <c r="G39" s="5">
        <v>46310.0</v>
      </c>
      <c r="H39" s="2" t="s">
        <v>9</v>
      </c>
    </row>
    <row r="40">
      <c r="A40" s="2" t="s">
        <v>71</v>
      </c>
      <c r="B40" s="2" t="s">
        <v>70</v>
      </c>
      <c r="C40" s="2">
        <v>11280.0</v>
      </c>
      <c r="E40" s="2">
        <v>32.8</v>
      </c>
      <c r="F40" s="2" t="s">
        <v>9</v>
      </c>
      <c r="G40" s="5">
        <v>46310.0</v>
      </c>
      <c r="H40" s="2" t="s">
        <v>9</v>
      </c>
    </row>
    <row r="42">
      <c r="C42" s="6">
        <f>SUM(C38:C40)</f>
        <v>24480</v>
      </c>
      <c r="E42" s="6">
        <f>sum(E38:E40)</f>
        <v>78.54</v>
      </c>
    </row>
    <row r="44">
      <c r="A44" s="12" t="s">
        <v>72</v>
      </c>
      <c r="B44" s="13"/>
    </row>
    <row r="45">
      <c r="A45" s="2" t="s">
        <v>73</v>
      </c>
      <c r="B45" s="2" t="s">
        <v>74</v>
      </c>
      <c r="C45" s="2">
        <v>66408.0</v>
      </c>
      <c r="D45" s="5">
        <v>46136.0</v>
      </c>
      <c r="E45" s="2">
        <v>301.0</v>
      </c>
      <c r="F45" s="2" t="s">
        <v>9</v>
      </c>
      <c r="G45" s="2" t="s">
        <v>75</v>
      </c>
      <c r="H45" s="2" t="s">
        <v>9</v>
      </c>
    </row>
    <row r="46">
      <c r="A46" s="2" t="s">
        <v>76</v>
      </c>
      <c r="B46" s="2" t="s">
        <v>74</v>
      </c>
      <c r="C46" s="2">
        <v>29952.0</v>
      </c>
      <c r="D46" s="3">
        <v>46164.0</v>
      </c>
      <c r="E46" s="2">
        <v>137.0</v>
      </c>
      <c r="F46" s="2" t="s">
        <v>9</v>
      </c>
      <c r="G46" s="2" t="s">
        <v>75</v>
      </c>
    </row>
    <row r="47">
      <c r="A47" s="2" t="s">
        <v>77</v>
      </c>
      <c r="B47" s="2" t="s">
        <v>74</v>
      </c>
      <c r="C47" s="2">
        <v>2560.0</v>
      </c>
      <c r="D47" s="3">
        <v>46211.0</v>
      </c>
      <c r="E47" s="2">
        <v>7.97</v>
      </c>
      <c r="F47" s="2" t="s">
        <v>9</v>
      </c>
      <c r="H47" s="2" t="s">
        <v>9</v>
      </c>
    </row>
    <row r="48">
      <c r="A48" s="2" t="s">
        <v>78</v>
      </c>
      <c r="B48" s="2" t="s">
        <v>74</v>
      </c>
      <c r="C48" s="2">
        <v>1440.0</v>
      </c>
      <c r="D48" s="3">
        <v>46211.0</v>
      </c>
      <c r="E48" s="2">
        <v>4.54</v>
      </c>
      <c r="F48" s="2" t="s">
        <v>9</v>
      </c>
    </row>
    <row r="49">
      <c r="A49" s="2"/>
      <c r="B49" s="2"/>
      <c r="C49" s="2"/>
      <c r="D49" s="5"/>
      <c r="E49" s="2"/>
      <c r="F49" s="2"/>
      <c r="G49" s="3"/>
      <c r="H49" s="2"/>
    </row>
    <row r="50">
      <c r="A50" s="2" t="s">
        <v>79</v>
      </c>
      <c r="B50" s="2" t="s">
        <v>80</v>
      </c>
      <c r="C50" s="2">
        <v>6000.0</v>
      </c>
      <c r="E50" s="2">
        <v>67.72</v>
      </c>
      <c r="F50" s="2" t="s">
        <v>9</v>
      </c>
      <c r="G50" s="5">
        <v>46285.0</v>
      </c>
      <c r="H50" s="2" t="s">
        <v>9</v>
      </c>
    </row>
    <row r="51">
      <c r="B51" s="2"/>
    </row>
    <row r="52">
      <c r="B52" s="2"/>
    </row>
    <row r="53">
      <c r="B53" s="2" t="s">
        <v>81</v>
      </c>
      <c r="C53" s="6">
        <f>SUM(C45:C50)</f>
        <v>106360</v>
      </c>
      <c r="E53" s="6">
        <f>SUM(E45:E50)</f>
        <v>518.23</v>
      </c>
    </row>
    <row r="56">
      <c r="A56" s="14" t="s">
        <v>82</v>
      </c>
      <c r="B56" s="15"/>
    </row>
    <row r="57">
      <c r="A57" s="2" t="s">
        <v>83</v>
      </c>
      <c r="B57" s="2" t="s">
        <v>84</v>
      </c>
      <c r="C57" s="2">
        <v>5760.0</v>
      </c>
      <c r="D57" s="5">
        <v>46261.0</v>
      </c>
    </row>
    <row r="59">
      <c r="C59" s="16">
        <f>sum(C57:C58)</f>
        <v>5760</v>
      </c>
      <c r="E59" s="16">
        <f>sum(E57:E58)</f>
        <v>0</v>
      </c>
    </row>
  </sheetData>
  <drawing r:id="rId1"/>
</worksheet>
</file>